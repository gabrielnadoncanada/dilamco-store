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devactif.sharepoint.com/sites/armoireexpress/Documents partages/Marketing/Site web/ecommerce/pricing/"/>
    </mc:Choice>
  </mc:AlternateContent>
  <xr:revisionPtr revIDLastSave="1107" documentId="8_{6AB67CFD-6290-4D9D-8B44-72B1B10A0C83}" xr6:coauthVersionLast="47" xr6:coauthVersionMax="47" xr10:uidLastSave="{511EBF34-65E8-4E68-8F75-B8D88115CFB2}"/>
  <bookViews>
    <workbookView xWindow="-120" yWindow="-120" windowWidth="29040" windowHeight="15720" activeTab="2" xr2:uid="{00000000-000D-0000-FFFF-FFFF00000000}"/>
  </bookViews>
  <sheets>
    <sheet name="SELL " sheetId="1" r:id="rId1"/>
    <sheet name="PRICE" sheetId="2" r:id="rId2"/>
    <sheet name="price bc" sheetId="3" r:id="rId3"/>
    <sheet name="Product Code" sheetId="4" r:id="rId4"/>
  </sheets>
  <externalReferences>
    <externalReference r:id="rId5"/>
  </externalReferences>
  <definedNames>
    <definedName name="_xlnm._FilterDatabase" localSheetId="1" hidden="1">PRICE!$A$1:$B$591</definedName>
    <definedName name="_xlnm._FilterDatabase" localSheetId="2" hidden="1">'price bc'!$A$1:$M$243</definedName>
    <definedName name="_xlnm._FilterDatabase" localSheetId="3" hidden="1">'Product Code'!$A$1:$C$1</definedName>
    <definedName name="HandleListWithPiston">'[1]#REF'!$F$11:$G$26</definedName>
    <definedName name="HandleListWithPiston2">'[1]#REF'!$F$11:$F$26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3" i="3" l="1"/>
  <c r="E50" i="2"/>
  <c r="F50" i="2" s="1"/>
  <c r="D70" i="3"/>
  <c r="D71" i="3"/>
  <c r="D72" i="3"/>
  <c r="D73" i="3"/>
  <c r="D74" i="3"/>
  <c r="D75" i="3"/>
  <c r="D76" i="3"/>
  <c r="D77" i="3"/>
  <c r="D78" i="3"/>
  <c r="D79" i="3"/>
  <c r="D80" i="3"/>
  <c r="D69" i="3"/>
  <c r="E79" i="2"/>
  <c r="F79" i="2" s="1"/>
  <c r="E80" i="2"/>
  <c r="F80" i="2" s="1"/>
  <c r="E81" i="2"/>
  <c r="F81" i="2" s="1"/>
  <c r="E82" i="2"/>
  <c r="E83" i="2"/>
  <c r="E84" i="2"/>
  <c r="E85" i="2"/>
  <c r="E86" i="2"/>
  <c r="F86" i="2" s="1"/>
  <c r="E87" i="2"/>
  <c r="F87" i="2" s="1"/>
  <c r="E88" i="2"/>
  <c r="F88" i="2" s="1"/>
  <c r="E89" i="2"/>
  <c r="F89" i="2" s="1"/>
  <c r="E78" i="2"/>
  <c r="F82" i="2"/>
  <c r="F83" i="2"/>
  <c r="F84" i="2"/>
  <c r="F85" i="2"/>
  <c r="F78" i="2"/>
  <c r="D24" i="3"/>
  <c r="D5" i="3"/>
  <c r="D6" i="3"/>
  <c r="D9" i="3"/>
  <c r="D10" i="3"/>
  <c r="D11" i="3"/>
  <c r="D17" i="3"/>
  <c r="D18" i="3"/>
  <c r="D19" i="3"/>
  <c r="D20" i="3"/>
  <c r="D21" i="3"/>
  <c r="D22" i="3"/>
  <c r="C4" i="3"/>
  <c r="D4" i="3" s="1"/>
  <c r="D57" i="3"/>
  <c r="D58" i="3"/>
  <c r="D59" i="3"/>
  <c r="D60" i="3"/>
  <c r="D61" i="3"/>
  <c r="D65" i="3"/>
  <c r="D56" i="3"/>
  <c r="C3" i="3"/>
  <c r="C5" i="3"/>
  <c r="C6" i="3"/>
  <c r="C7" i="3"/>
  <c r="D7" i="3" s="1"/>
  <c r="C8" i="3"/>
  <c r="D8" i="3" s="1"/>
  <c r="C9" i="3"/>
  <c r="C10" i="3"/>
  <c r="C11" i="3"/>
  <c r="C12" i="3"/>
  <c r="D12" i="3" s="1"/>
  <c r="C13" i="3"/>
  <c r="D13" i="3" s="1"/>
  <c r="C14" i="3"/>
  <c r="D14" i="3" s="1"/>
  <c r="C15" i="3"/>
  <c r="D15" i="3" s="1"/>
  <c r="C16" i="3"/>
  <c r="D16" i="3" s="1"/>
  <c r="C17" i="3"/>
  <c r="C18" i="3"/>
  <c r="C19" i="3"/>
  <c r="C20" i="3"/>
  <c r="C21" i="3"/>
  <c r="C22" i="3"/>
  <c r="C23" i="3"/>
  <c r="D23" i="3" s="1"/>
  <c r="C24" i="3"/>
  <c r="C25" i="3"/>
  <c r="D25" i="3" s="1"/>
  <c r="C26" i="3"/>
  <c r="D26" i="3" s="1"/>
  <c r="C27" i="3"/>
  <c r="C28" i="3"/>
  <c r="D28" i="3" s="1"/>
  <c r="C29" i="3"/>
  <c r="D29" i="3" s="1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D62" i="3" s="1"/>
  <c r="C63" i="3"/>
  <c r="D63" i="3" s="1"/>
  <c r="C64" i="3"/>
  <c r="D64" i="3" s="1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" i="3"/>
  <c r="F90" i="2"/>
  <c r="E90" i="2"/>
  <c r="E62" i="2"/>
  <c r="F62" i="2" s="1"/>
  <c r="E60" i="2"/>
  <c r="F60" i="2"/>
  <c r="E11" i="2"/>
  <c r="F11" i="2"/>
  <c r="E12" i="2"/>
  <c r="F12" i="2" s="1"/>
  <c r="E13" i="2"/>
  <c r="F13" i="2" s="1"/>
  <c r="E14" i="2"/>
  <c r="F14" i="2"/>
  <c r="E15" i="2"/>
  <c r="F15" i="2"/>
  <c r="E16" i="2"/>
  <c r="F16" i="2" s="1"/>
  <c r="E17" i="2"/>
  <c r="F17" i="2" s="1"/>
  <c r="E18" i="2"/>
  <c r="F18" i="2"/>
  <c r="E19" i="2"/>
  <c r="F19" i="2"/>
  <c r="E25" i="2"/>
  <c r="F25" i="2"/>
  <c r="E26" i="2"/>
  <c r="F26" i="2"/>
  <c r="E29" i="2"/>
  <c r="F29" i="2" s="1"/>
  <c r="E30" i="2"/>
  <c r="F30" i="2"/>
  <c r="E31" i="2"/>
  <c r="F31" i="2"/>
  <c r="E32" i="2"/>
  <c r="F32" i="2"/>
  <c r="E33" i="2"/>
  <c r="F33" i="2"/>
  <c r="E34" i="2"/>
  <c r="F34" i="2"/>
  <c r="E35" i="2"/>
  <c r="F35" i="2"/>
  <c r="E36" i="2"/>
  <c r="F36" i="2"/>
  <c r="E37" i="2"/>
  <c r="F37" i="2" s="1"/>
  <c r="E38" i="2"/>
  <c r="F38" i="2"/>
  <c r="E39" i="2"/>
  <c r="F39" i="2"/>
  <c r="E40" i="2"/>
  <c r="F40" i="2"/>
  <c r="F3" i="2"/>
  <c r="F4" i="2"/>
  <c r="F5" i="2"/>
  <c r="F6" i="2"/>
  <c r="F7" i="2"/>
  <c r="F8" i="2"/>
  <c r="F9" i="2"/>
  <c r="F10" i="2"/>
  <c r="F2" i="2"/>
  <c r="E3" i="2"/>
  <c r="E4" i="2"/>
  <c r="E5" i="2"/>
  <c r="E6" i="2"/>
  <c r="E7" i="2"/>
  <c r="E8" i="2"/>
  <c r="E9" i="2"/>
  <c r="E10" i="2"/>
  <c r="E2" i="2"/>
  <c r="M93" i="3" l="1"/>
  <c r="M88" i="3"/>
  <c r="M89" i="3"/>
  <c r="M87" i="3"/>
  <c r="M70" i="3" l="1"/>
  <c r="M71" i="3"/>
  <c r="M72" i="3"/>
  <c r="M73" i="3"/>
  <c r="M74" i="3"/>
  <c r="M75" i="3"/>
  <c r="M76" i="3"/>
  <c r="M77" i="3"/>
  <c r="M78" i="3"/>
  <c r="M79" i="3"/>
  <c r="M80" i="3"/>
  <c r="M69" i="3"/>
  <c r="L87" i="3"/>
  <c r="M57" i="3"/>
  <c r="M58" i="3"/>
  <c r="M59" i="3"/>
  <c r="M60" i="3"/>
  <c r="M61" i="3"/>
  <c r="M62" i="3"/>
  <c r="M63" i="3"/>
  <c r="M64" i="3"/>
  <c r="M65" i="3"/>
  <c r="M56" i="3"/>
  <c r="K92" i="3"/>
  <c r="K91" i="3"/>
  <c r="E5" i="3"/>
  <c r="F5" i="3" s="1" a="1"/>
  <c r="F5" i="3" s="1"/>
  <c r="E6" i="3"/>
  <c r="F6" i="3" s="1" a="1"/>
  <c r="F6" i="3" s="1"/>
  <c r="E7" i="3"/>
  <c r="G7" i="3" s="1" a="1"/>
  <c r="G7" i="3" s="1"/>
  <c r="E8" i="3"/>
  <c r="F8" i="3" s="1" a="1"/>
  <c r="F8" i="3" s="1"/>
  <c r="E9" i="3"/>
  <c r="F9" i="3" s="1" a="1"/>
  <c r="F9" i="3" s="1"/>
  <c r="E10" i="3"/>
  <c r="F10" i="3" s="1" a="1"/>
  <c r="F10" i="3" s="1"/>
  <c r="E11" i="3"/>
  <c r="F11" i="3" s="1" a="1"/>
  <c r="F11" i="3" s="1"/>
  <c r="E30" i="3"/>
  <c r="F30" i="3" s="1" a="1"/>
  <c r="F30" i="3" s="1"/>
  <c r="E67" i="3"/>
  <c r="F67" i="3" s="1" a="1"/>
  <c r="F67" i="3" s="1"/>
  <c r="E66" i="3"/>
  <c r="F66" i="3" s="1" a="1"/>
  <c r="F66" i="3" s="1"/>
  <c r="E68" i="3"/>
  <c r="F68" i="3" s="1" a="1"/>
  <c r="F68" i="3" s="1"/>
  <c r="E12" i="3"/>
  <c r="F12" i="3" s="1" a="1"/>
  <c r="F12" i="3" s="1"/>
  <c r="E13" i="3"/>
  <c r="F13" i="3" s="1" a="1"/>
  <c r="F13" i="3" s="1"/>
  <c r="E14" i="3"/>
  <c r="F14" i="3" s="1" a="1"/>
  <c r="F14" i="3" s="1"/>
  <c r="E15" i="3"/>
  <c r="F15" i="3" s="1" a="1"/>
  <c r="F15" i="3" s="1"/>
  <c r="E16" i="3"/>
  <c r="F16" i="3" s="1" a="1"/>
  <c r="F16" i="3" s="1"/>
  <c r="E17" i="3"/>
  <c r="F17" i="3" s="1" a="1"/>
  <c r="F17" i="3" s="1"/>
  <c r="E19" i="3"/>
  <c r="F19" i="3" s="1" a="1"/>
  <c r="F19" i="3" s="1"/>
  <c r="E21" i="3"/>
  <c r="F21" i="3" s="1" a="1"/>
  <c r="F21" i="3" s="1"/>
  <c r="E22" i="3"/>
  <c r="F22" i="3" s="1" a="1"/>
  <c r="F22" i="3" s="1"/>
  <c r="E18" i="3"/>
  <c r="F18" i="3" s="1" a="1"/>
  <c r="F18" i="3" s="1"/>
  <c r="E20" i="3"/>
  <c r="F20" i="3" s="1" a="1"/>
  <c r="F20" i="3" s="1"/>
  <c r="E31" i="3"/>
  <c r="F31" i="3" s="1" a="1"/>
  <c r="F31" i="3" s="1"/>
  <c r="E32" i="3"/>
  <c r="F32" i="3" s="1" a="1"/>
  <c r="F32" i="3" s="1"/>
  <c r="E33" i="3"/>
  <c r="F33" i="3" s="1" a="1"/>
  <c r="F33" i="3" s="1"/>
  <c r="E34" i="3"/>
  <c r="F34" i="3" s="1" a="1"/>
  <c r="F34" i="3" s="1"/>
  <c r="E35" i="3"/>
  <c r="F35" i="3" s="1" a="1"/>
  <c r="F35" i="3" s="1"/>
  <c r="E36" i="3"/>
  <c r="F36" i="3" s="1" a="1"/>
  <c r="F36" i="3" s="1"/>
  <c r="E37" i="3"/>
  <c r="F37" i="3" s="1" a="1"/>
  <c r="F37" i="3" s="1"/>
  <c r="E38" i="3"/>
  <c r="F38" i="3" s="1" a="1"/>
  <c r="F38" i="3" s="1"/>
  <c r="E39" i="3"/>
  <c r="F39" i="3" s="1" a="1"/>
  <c r="F39" i="3" s="1"/>
  <c r="E40" i="3"/>
  <c r="F40" i="3" s="1" a="1"/>
  <c r="F40" i="3" s="1"/>
  <c r="E41" i="3"/>
  <c r="F41" i="3" s="1" a="1"/>
  <c r="F41" i="3" s="1"/>
  <c r="E42" i="3"/>
  <c r="F42" i="3" s="1" a="1"/>
  <c r="F42" i="3" s="1"/>
  <c r="E23" i="3"/>
  <c r="G23" i="3" s="1" a="1"/>
  <c r="G23" i="3" s="1"/>
  <c r="E24" i="3"/>
  <c r="F24" i="3" s="1" a="1"/>
  <c r="F24" i="3" s="1"/>
  <c r="E82" i="3"/>
  <c r="F82" i="3" s="1" a="1"/>
  <c r="F82" i="3" s="1"/>
  <c r="E81" i="3"/>
  <c r="F81" i="3" s="1" a="1"/>
  <c r="F81" i="3" s="1"/>
  <c r="E25" i="3"/>
  <c r="F25" i="3" s="1" a="1"/>
  <c r="F25" i="3" s="1"/>
  <c r="E26" i="3"/>
  <c r="F26" i="3" s="1" a="1"/>
  <c r="F26" i="3" s="1"/>
  <c r="E95" i="3"/>
  <c r="F95" i="3" s="1" a="1"/>
  <c r="F95" i="3" s="1"/>
  <c r="E87" i="3"/>
  <c r="F87" i="3" s="1" a="1"/>
  <c r="F87" i="3" s="1"/>
  <c r="E90" i="3"/>
  <c r="F90" i="3" s="1" a="1"/>
  <c r="F90" i="3" s="1"/>
  <c r="E91" i="3"/>
  <c r="G91" i="3" s="1" a="1"/>
  <c r="G91" i="3" s="1"/>
  <c r="E88" i="3"/>
  <c r="F88" i="3" s="1" a="1"/>
  <c r="F88" i="3" s="1"/>
  <c r="E89" i="3"/>
  <c r="F89" i="3" s="1" a="1"/>
  <c r="F89" i="3" s="1"/>
  <c r="E86" i="3"/>
  <c r="F86" i="3" s="1" a="1"/>
  <c r="F86" i="3" s="1"/>
  <c r="E85" i="3"/>
  <c r="F85" i="3" s="1" a="1"/>
  <c r="F85" i="3" s="1"/>
  <c r="E27" i="3"/>
  <c r="F27" i="3" s="1" a="1"/>
  <c r="F27" i="3" s="1"/>
  <c r="E28" i="3"/>
  <c r="F28" i="3" s="1" a="1"/>
  <c r="F28" i="3" s="1"/>
  <c r="E29" i="3"/>
  <c r="F29" i="3" s="1" a="1"/>
  <c r="F29" i="3" s="1"/>
  <c r="E93" i="3"/>
  <c r="F93" i="3" s="1" a="1"/>
  <c r="F93" i="3" s="1"/>
  <c r="E46" i="3"/>
  <c r="F46" i="3" s="1" a="1"/>
  <c r="F46" i="3" s="1"/>
  <c r="E47" i="3"/>
  <c r="F47" i="3" s="1" a="1"/>
  <c r="F47" i="3" s="1"/>
  <c r="E43" i="3"/>
  <c r="F43" i="3" s="1" a="1"/>
  <c r="F43" i="3" s="1"/>
  <c r="E44" i="3"/>
  <c r="F44" i="3" s="1" a="1"/>
  <c r="F44" i="3" s="1"/>
  <c r="E45" i="3"/>
  <c r="F45" i="3" s="1" a="1"/>
  <c r="F45" i="3" s="1"/>
  <c r="E155" i="3"/>
  <c r="F155" i="3" s="1" a="1"/>
  <c r="F155" i="3" s="1"/>
  <c r="E156" i="3"/>
  <c r="F156" i="3" s="1" a="1"/>
  <c r="F156" i="3" s="1"/>
  <c r="E158" i="3"/>
  <c r="G158" i="3" s="1" a="1"/>
  <c r="G158" i="3" s="1"/>
  <c r="E159" i="3"/>
  <c r="F159" i="3" s="1" a="1"/>
  <c r="F159" i="3" s="1"/>
  <c r="E161" i="3"/>
  <c r="F161" i="3" s="1" a="1"/>
  <c r="F161" i="3" s="1"/>
  <c r="E162" i="3"/>
  <c r="F162" i="3" s="1" a="1"/>
  <c r="F162" i="3" s="1"/>
  <c r="E163" i="3"/>
  <c r="F163" i="3" s="1" a="1"/>
  <c r="F163" i="3" s="1"/>
  <c r="E165" i="3"/>
  <c r="F165" i="3" s="1" a="1"/>
  <c r="F165" i="3" s="1"/>
  <c r="E166" i="3"/>
  <c r="F166" i="3" s="1" a="1"/>
  <c r="F166" i="3" s="1"/>
  <c r="E167" i="3"/>
  <c r="F167" i="3" s="1" a="1"/>
  <c r="F167" i="3" s="1"/>
  <c r="E169" i="3"/>
  <c r="F169" i="3" s="1" a="1"/>
  <c r="F169" i="3" s="1"/>
  <c r="E170" i="3"/>
  <c r="F170" i="3" s="1" a="1"/>
  <c r="F170" i="3" s="1"/>
  <c r="E171" i="3"/>
  <c r="F171" i="3" s="1" a="1"/>
  <c r="F171" i="3" s="1"/>
  <c r="E173" i="3"/>
  <c r="F173" i="3" s="1" a="1"/>
  <c r="F173" i="3" s="1"/>
  <c r="E174" i="3"/>
  <c r="F174" i="3" s="1" a="1"/>
  <c r="F174" i="3" s="1"/>
  <c r="E175" i="3"/>
  <c r="F175" i="3" s="1" a="1"/>
  <c r="F175" i="3" s="1"/>
  <c r="E177" i="3"/>
  <c r="F177" i="3" s="1" a="1"/>
  <c r="F177" i="3" s="1"/>
  <c r="E178" i="3"/>
  <c r="F178" i="3" s="1" a="1"/>
  <c r="F178" i="3" s="1"/>
  <c r="E179" i="3"/>
  <c r="G179" i="3" s="1" a="1"/>
  <c r="G179" i="3" s="1"/>
  <c r="E181" i="3"/>
  <c r="F181" i="3" s="1" a="1"/>
  <c r="F181" i="3" s="1"/>
  <c r="E182" i="3"/>
  <c r="F182" i="3" s="1" a="1"/>
  <c r="F182" i="3" s="1"/>
  <c r="E183" i="3"/>
  <c r="F183" i="3" s="1" a="1"/>
  <c r="F183" i="3" s="1"/>
  <c r="E184" i="3"/>
  <c r="F184" i="3" s="1" a="1"/>
  <c r="F184" i="3" s="1"/>
  <c r="E186" i="3"/>
  <c r="F186" i="3" s="1" a="1"/>
  <c r="F186" i="3" s="1"/>
  <c r="E187" i="3"/>
  <c r="F187" i="3" s="1" a="1"/>
  <c r="F187" i="3" s="1"/>
  <c r="E188" i="3"/>
  <c r="F188" i="3" s="1" a="1"/>
  <c r="F188" i="3" s="1"/>
  <c r="E189" i="3"/>
  <c r="F189" i="3" s="1" a="1"/>
  <c r="F189" i="3" s="1"/>
  <c r="E190" i="3"/>
  <c r="F190" i="3" s="1" a="1"/>
  <c r="F190" i="3" s="1"/>
  <c r="E192" i="3"/>
  <c r="F192" i="3" s="1" a="1"/>
  <c r="F192" i="3" s="1"/>
  <c r="E193" i="3"/>
  <c r="F193" i="3" s="1" a="1"/>
  <c r="F193" i="3" s="1"/>
  <c r="E195" i="3"/>
  <c r="F195" i="3" s="1" a="1"/>
  <c r="F195" i="3" s="1"/>
  <c r="E209" i="3"/>
  <c r="F209" i="3" s="1" a="1"/>
  <c r="F209" i="3" s="1"/>
  <c r="E225" i="3"/>
  <c r="F225" i="3" s="1" a="1"/>
  <c r="F225" i="3" s="1"/>
  <c r="E185" i="3"/>
  <c r="F185" i="3" s="1" a="1"/>
  <c r="F185" i="3" s="1"/>
  <c r="E204" i="3"/>
  <c r="G204" i="3" s="1" a="1"/>
  <c r="G204" i="3" s="1"/>
  <c r="E218" i="3"/>
  <c r="F218" i="3" s="1" a="1"/>
  <c r="F218" i="3" s="1"/>
  <c r="E229" i="3"/>
  <c r="F229" i="3" s="1" a="1"/>
  <c r="F229" i="3" s="1"/>
  <c r="E194" i="3"/>
  <c r="F194" i="3" s="1" a="1"/>
  <c r="F194" i="3" s="1"/>
  <c r="E200" i="3"/>
  <c r="F200" i="3" s="1" a="1"/>
  <c r="F200" i="3" s="1"/>
  <c r="E202" i="3"/>
  <c r="F202" i="3" s="1" a="1"/>
  <c r="F202" i="3" s="1"/>
  <c r="E203" i="3"/>
  <c r="F203" i="3" s="1" a="1"/>
  <c r="F203" i="3" s="1"/>
  <c r="E205" i="3"/>
  <c r="F205" i="3" s="1" a="1"/>
  <c r="F205" i="3" s="1"/>
  <c r="E206" i="3"/>
  <c r="F206" i="3" s="1" a="1"/>
  <c r="F206" i="3" s="1"/>
  <c r="E208" i="3"/>
  <c r="F208" i="3" s="1" a="1"/>
  <c r="F208" i="3" s="1"/>
  <c r="E196" i="3"/>
  <c r="F196" i="3" s="1" a="1"/>
  <c r="F196" i="3" s="1"/>
  <c r="E210" i="3"/>
  <c r="F210" i="3" s="1" a="1"/>
  <c r="F210" i="3" s="1"/>
  <c r="E198" i="3"/>
  <c r="F198" i="3" s="1" a="1"/>
  <c r="F198" i="3" s="1"/>
  <c r="E213" i="3"/>
  <c r="F213" i="3" s="1" a="1"/>
  <c r="F213" i="3" s="1"/>
  <c r="E201" i="3"/>
  <c r="F201" i="3" s="1" a="1"/>
  <c r="F201" i="3" s="1"/>
  <c r="E214" i="3"/>
  <c r="F214" i="3" s="1" a="1"/>
  <c r="F214" i="3" s="1"/>
  <c r="E215" i="3"/>
  <c r="F215" i="3" s="1" a="1"/>
  <c r="F215" i="3" s="1"/>
  <c r="E197" i="3"/>
  <c r="F197" i="3" s="1" a="1"/>
  <c r="F197" i="3" s="1"/>
  <c r="E211" i="3"/>
  <c r="F211" i="3" s="1" a="1"/>
  <c r="F211" i="3" s="1"/>
  <c r="E216" i="3"/>
  <c r="F216" i="3" s="1" a="1"/>
  <c r="F216" i="3" s="1"/>
  <c r="E217" i="3"/>
  <c r="F217" i="3" s="1" a="1"/>
  <c r="F217" i="3" s="1"/>
  <c r="E219" i="3"/>
  <c r="F219" i="3" s="1" a="1"/>
  <c r="F219" i="3" s="1"/>
  <c r="E220" i="3"/>
  <c r="F220" i="3" s="1" a="1"/>
  <c r="F220" i="3" s="1"/>
  <c r="E221" i="3"/>
  <c r="F221" i="3" s="1" a="1"/>
  <c r="F221" i="3" s="1"/>
  <c r="E223" i="3"/>
  <c r="F223" i="3" s="1" a="1"/>
  <c r="F223" i="3" s="1"/>
  <c r="E224" i="3"/>
  <c r="F224" i="3" s="1" a="1"/>
  <c r="F224" i="3" s="1"/>
  <c r="E226" i="3"/>
  <c r="F226" i="3" s="1" a="1"/>
  <c r="F226" i="3" s="1"/>
  <c r="E227" i="3"/>
  <c r="F227" i="3" s="1" a="1"/>
  <c r="F227" i="3" s="1"/>
  <c r="E230" i="3"/>
  <c r="F230" i="3" s="1" a="1"/>
  <c r="F230" i="3" s="1"/>
  <c r="E228" i="3"/>
  <c r="F228" i="3" s="1" a="1"/>
  <c r="F228" i="3" s="1"/>
  <c r="E199" i="3"/>
  <c r="F199" i="3" s="1" a="1"/>
  <c r="F199" i="3" s="1"/>
  <c r="E212" i="3"/>
  <c r="F212" i="3" s="1" a="1"/>
  <c r="F212" i="3" s="1"/>
  <c r="E117" i="3"/>
  <c r="F117" i="3" s="1" a="1"/>
  <c r="F117" i="3" s="1"/>
  <c r="E118" i="3"/>
  <c r="F118" i="3" s="1" a="1"/>
  <c r="F118" i="3" s="1"/>
  <c r="E120" i="3"/>
  <c r="F120" i="3" s="1" a="1"/>
  <c r="F120" i="3" s="1"/>
  <c r="E122" i="3"/>
  <c r="F122" i="3" s="1" a="1"/>
  <c r="F122" i="3" s="1"/>
  <c r="E123" i="3"/>
  <c r="F123" i="3" s="1" a="1"/>
  <c r="F123" i="3" s="1"/>
  <c r="E124" i="3"/>
  <c r="F124" i="3" s="1" a="1"/>
  <c r="F124" i="3" s="1"/>
  <c r="E125" i="3"/>
  <c r="F125" i="3" s="1" a="1"/>
  <c r="F125" i="3" s="1"/>
  <c r="E126" i="3"/>
  <c r="F126" i="3" s="1" a="1"/>
  <c r="F126" i="3" s="1"/>
  <c r="E127" i="3"/>
  <c r="F127" i="3" s="1" a="1"/>
  <c r="F127" i="3" s="1"/>
  <c r="E121" i="3"/>
  <c r="F121" i="3" s="1" a="1"/>
  <c r="F121" i="3" s="1"/>
  <c r="E128" i="3"/>
  <c r="F128" i="3" s="1" a="1"/>
  <c r="F128" i="3" s="1"/>
  <c r="E129" i="3"/>
  <c r="F129" i="3" s="1" a="1"/>
  <c r="F129" i="3" s="1"/>
  <c r="E130" i="3"/>
  <c r="F130" i="3" s="1" a="1"/>
  <c r="F130" i="3" s="1"/>
  <c r="E131" i="3"/>
  <c r="F131" i="3" s="1" a="1"/>
  <c r="F131" i="3" s="1"/>
  <c r="E132" i="3"/>
  <c r="F132" i="3" s="1" a="1"/>
  <c r="F132" i="3" s="1"/>
  <c r="E133" i="3"/>
  <c r="F133" i="3" s="1" a="1"/>
  <c r="F133" i="3" s="1"/>
  <c r="E134" i="3"/>
  <c r="G134" i="3" s="1" a="1"/>
  <c r="G134" i="3" s="1"/>
  <c r="E135" i="3"/>
  <c r="F135" i="3" s="1" a="1"/>
  <c r="F135" i="3" s="1"/>
  <c r="E137" i="3"/>
  <c r="F137" i="3" s="1" a="1"/>
  <c r="F137" i="3" s="1"/>
  <c r="E138" i="3"/>
  <c r="F138" i="3" s="1" a="1"/>
  <c r="F138" i="3" s="1"/>
  <c r="E139" i="3"/>
  <c r="F139" i="3" s="1" a="1"/>
  <c r="F139" i="3" s="1"/>
  <c r="E140" i="3"/>
  <c r="F140" i="3" s="1" a="1"/>
  <c r="F140" i="3" s="1"/>
  <c r="E142" i="3"/>
  <c r="F142" i="3" s="1" a="1"/>
  <c r="F142" i="3" s="1"/>
  <c r="E143" i="3"/>
  <c r="F143" i="3" s="1" a="1"/>
  <c r="F143" i="3" s="1"/>
  <c r="E144" i="3"/>
  <c r="F144" i="3" s="1" a="1"/>
  <c r="F144" i="3" s="1"/>
  <c r="E146" i="3"/>
  <c r="F146" i="3" s="1" a="1"/>
  <c r="F146" i="3" s="1"/>
  <c r="E145" i="3"/>
  <c r="F145" i="3" s="1" a="1"/>
  <c r="F145" i="3" s="1"/>
  <c r="E147" i="3"/>
  <c r="F147" i="3" s="1" a="1"/>
  <c r="F147" i="3" s="1"/>
  <c r="E148" i="3"/>
  <c r="F148" i="3" s="1" a="1"/>
  <c r="F148" i="3" s="1"/>
  <c r="E149" i="3"/>
  <c r="F149" i="3" s="1" a="1"/>
  <c r="F149" i="3" s="1"/>
  <c r="E150" i="3"/>
  <c r="F150" i="3" s="1" a="1"/>
  <c r="F150" i="3" s="1"/>
  <c r="E151" i="3"/>
  <c r="F151" i="3" s="1" a="1"/>
  <c r="F151" i="3" s="1"/>
  <c r="E152" i="3"/>
  <c r="G152" i="3" s="1" a="1"/>
  <c r="G152" i="3" s="1"/>
  <c r="E153" i="3"/>
  <c r="F153" i="3" s="1" a="1"/>
  <c r="F153" i="3" s="1"/>
  <c r="E154" i="3"/>
  <c r="F154" i="3" s="1" a="1"/>
  <c r="F154" i="3" s="1"/>
  <c r="E231" i="3"/>
  <c r="F231" i="3" s="1" a="1"/>
  <c r="F231" i="3" s="1"/>
  <c r="E232" i="3"/>
  <c r="F232" i="3" s="1" a="1"/>
  <c r="F232" i="3" s="1"/>
  <c r="E234" i="3"/>
  <c r="F234" i="3" s="1" a="1"/>
  <c r="F234" i="3" s="1"/>
  <c r="E71" i="3"/>
  <c r="F71" i="3" s="1" a="1"/>
  <c r="F71" i="3" s="1"/>
  <c r="E72" i="3"/>
  <c r="G72" i="3" s="1" a="1"/>
  <c r="G72" i="3" s="1"/>
  <c r="E73" i="3"/>
  <c r="F73" i="3" s="1" a="1"/>
  <c r="F73" i="3" s="1"/>
  <c r="E74" i="3"/>
  <c r="F74" i="3" s="1" a="1"/>
  <c r="F74" i="3" s="1"/>
  <c r="E75" i="3"/>
  <c r="F75" i="3" s="1" a="1"/>
  <c r="F75" i="3" s="1"/>
  <c r="E76" i="3"/>
  <c r="F76" i="3" s="1" a="1"/>
  <c r="F76" i="3" s="1"/>
  <c r="E78" i="3"/>
  <c r="F78" i="3" s="1" a="1"/>
  <c r="F78" i="3" s="1"/>
  <c r="E79" i="3"/>
  <c r="F79" i="3" s="1" a="1"/>
  <c r="F79" i="3" s="1"/>
  <c r="E80" i="3"/>
  <c r="F80" i="3" s="1" a="1"/>
  <c r="F80" i="3" s="1"/>
  <c r="E77" i="3"/>
  <c r="F77" i="3" s="1" a="1"/>
  <c r="F77" i="3" s="1"/>
  <c r="E70" i="3"/>
  <c r="G70" i="3" s="1" a="1"/>
  <c r="G70" i="3" s="1"/>
  <c r="E69" i="3"/>
  <c r="F69" i="3" s="1" a="1"/>
  <c r="F69" i="3" s="1"/>
  <c r="E96" i="3"/>
  <c r="F96" i="3" s="1" a="1"/>
  <c r="F96" i="3" s="1"/>
  <c r="E97" i="3"/>
  <c r="F97" i="3" s="1" a="1"/>
  <c r="F97" i="3" s="1"/>
  <c r="E98" i="3"/>
  <c r="F98" i="3" s="1" a="1"/>
  <c r="F98" i="3" s="1"/>
  <c r="E99" i="3"/>
  <c r="F99" i="3" s="1" a="1"/>
  <c r="F99" i="3" s="1"/>
  <c r="E101" i="3"/>
  <c r="F101" i="3" s="1" a="1"/>
  <c r="F101" i="3" s="1"/>
  <c r="E100" i="3"/>
  <c r="G100" i="3" s="1" a="1"/>
  <c r="G100" i="3" s="1"/>
  <c r="E102" i="3"/>
  <c r="F102" i="3" s="1" a="1"/>
  <c r="F102" i="3" s="1"/>
  <c r="E103" i="3"/>
  <c r="F103" i="3" s="1" a="1"/>
  <c r="F103" i="3" s="1"/>
  <c r="E104" i="3"/>
  <c r="F104" i="3" s="1" a="1"/>
  <c r="F104" i="3" s="1"/>
  <c r="E105" i="3"/>
  <c r="F105" i="3" s="1" a="1"/>
  <c r="F105" i="3" s="1"/>
  <c r="E106" i="3"/>
  <c r="F106" i="3" s="1" a="1"/>
  <c r="F106" i="3" s="1"/>
  <c r="E108" i="3"/>
  <c r="F108" i="3" s="1" a="1"/>
  <c r="F108" i="3" s="1"/>
  <c r="E109" i="3"/>
  <c r="F109" i="3" s="1" a="1"/>
  <c r="F109" i="3" s="1"/>
  <c r="E110" i="3"/>
  <c r="F110" i="3" s="1" a="1"/>
  <c r="F110" i="3" s="1"/>
  <c r="E111" i="3"/>
  <c r="G111" i="3" s="1" a="1"/>
  <c r="G111" i="3" s="1"/>
  <c r="E112" i="3"/>
  <c r="F112" i="3" s="1" a="1"/>
  <c r="F112" i="3" s="1"/>
  <c r="E113" i="3"/>
  <c r="F113" i="3" s="1" a="1"/>
  <c r="F113" i="3" s="1"/>
  <c r="E114" i="3"/>
  <c r="F114" i="3" s="1" a="1"/>
  <c r="F114" i="3" s="1"/>
  <c r="E116" i="3"/>
  <c r="F116" i="3" s="1" a="1"/>
  <c r="F116" i="3" s="1"/>
  <c r="E107" i="3"/>
  <c r="F107" i="3" s="1" a="1"/>
  <c r="F107" i="3" s="1"/>
  <c r="E115" i="3"/>
  <c r="F115" i="3" s="1" a="1"/>
  <c r="F115" i="3" s="1"/>
  <c r="E94" i="3"/>
  <c r="G94" i="3" s="1" a="1"/>
  <c r="G94" i="3" s="1"/>
  <c r="E56" i="3"/>
  <c r="F56" i="3" s="1" a="1"/>
  <c r="F56" i="3" s="1"/>
  <c r="E57" i="3"/>
  <c r="F57" i="3" s="1" a="1"/>
  <c r="F57" i="3" s="1"/>
  <c r="E58" i="3"/>
  <c r="F58" i="3" s="1" a="1"/>
  <c r="F58" i="3" s="1"/>
  <c r="E60" i="3"/>
  <c r="F60" i="3" s="1" a="1"/>
  <c r="F60" i="3" s="1"/>
  <c r="E64" i="3"/>
  <c r="F64" i="3" s="1" a="1"/>
  <c r="F64" i="3" s="1"/>
  <c r="E65" i="3"/>
  <c r="F65" i="3" s="1" a="1"/>
  <c r="F65" i="3" s="1"/>
  <c r="E59" i="3"/>
  <c r="F59" i="3" s="1" a="1"/>
  <c r="F59" i="3" s="1"/>
  <c r="E61" i="3"/>
  <c r="F61" i="3" s="1" a="1"/>
  <c r="F61" i="3" s="1"/>
  <c r="E62" i="3"/>
  <c r="G62" i="3" s="1" a="1"/>
  <c r="G62" i="3" s="1"/>
  <c r="E63" i="3"/>
  <c r="F63" i="3" s="1" a="1"/>
  <c r="F63" i="3" s="1"/>
  <c r="E48" i="3"/>
  <c r="F48" i="3" s="1" a="1"/>
  <c r="F48" i="3" s="1"/>
  <c r="E49" i="3"/>
  <c r="F49" i="3" s="1" a="1"/>
  <c r="F49" i="3" s="1"/>
  <c r="E50" i="3"/>
  <c r="F50" i="3" s="1" a="1"/>
  <c r="F50" i="3" s="1"/>
  <c r="E51" i="3"/>
  <c r="F51" i="3" s="1" a="1"/>
  <c r="F51" i="3" s="1"/>
  <c r="E52" i="3"/>
  <c r="F52" i="3" s="1" a="1"/>
  <c r="F52" i="3" s="1"/>
  <c r="E53" i="3"/>
  <c r="F53" i="3" s="1" a="1"/>
  <c r="F53" i="3" s="1"/>
  <c r="E54" i="3"/>
  <c r="F54" i="3" s="1" a="1"/>
  <c r="F54" i="3" s="1"/>
  <c r="E55" i="3"/>
  <c r="F55" i="3" s="1" a="1"/>
  <c r="F55" i="3" s="1"/>
  <c r="E238" i="3"/>
  <c r="F238" i="3" s="1" a="1"/>
  <c r="F238" i="3" s="1"/>
  <c r="E237" i="3"/>
  <c r="F237" i="3" s="1" a="1"/>
  <c r="F237" i="3" s="1"/>
  <c r="E239" i="3"/>
  <c r="F239" i="3" s="1" a="1"/>
  <c r="F239" i="3" s="1"/>
  <c r="E240" i="3"/>
  <c r="F240" i="3" s="1" a="1"/>
  <c r="F240" i="3" s="1"/>
  <c r="E92" i="3"/>
  <c r="F92" i="3" s="1" a="1"/>
  <c r="F92" i="3" s="1"/>
  <c r="E83" i="3"/>
  <c r="F83" i="3" s="1" a="1"/>
  <c r="F83" i="3" s="1"/>
  <c r="E84" i="3"/>
  <c r="G84" i="3" s="1" a="1"/>
  <c r="G84" i="3" s="1"/>
  <c r="E235" i="3"/>
  <c r="F235" i="3" s="1" a="1"/>
  <c r="F235" i="3" s="1"/>
  <c r="E236" i="3"/>
  <c r="F236" i="3" s="1" a="1"/>
  <c r="F236" i="3" s="1"/>
  <c r="E243" i="3"/>
  <c r="F243" i="3" s="1" a="1"/>
  <c r="F243" i="3" s="1"/>
  <c r="E242" i="3"/>
  <c r="F242" i="3" s="1" a="1"/>
  <c r="F242" i="3" s="1"/>
  <c r="E241" i="3"/>
  <c r="F241" i="3" s="1" a="1"/>
  <c r="F241" i="3" s="1"/>
  <c r="E157" i="3"/>
  <c r="F157" i="3" s="1" a="1"/>
  <c r="F157" i="3" s="1"/>
  <c r="E160" i="3"/>
  <c r="F160" i="3" s="1" a="1"/>
  <c r="F160" i="3" s="1"/>
  <c r="E164" i="3"/>
  <c r="F164" i="3" s="1" a="1"/>
  <c r="F164" i="3" s="1"/>
  <c r="E168" i="3"/>
  <c r="F168" i="3" s="1" a="1"/>
  <c r="F168" i="3" s="1"/>
  <c r="E172" i="3"/>
  <c r="F172" i="3" s="1" a="1"/>
  <c r="F172" i="3" s="1"/>
  <c r="E176" i="3"/>
  <c r="F176" i="3" s="1" a="1"/>
  <c r="F176" i="3" s="1"/>
  <c r="E180" i="3"/>
  <c r="F180" i="3" s="1" a="1"/>
  <c r="F180" i="3" s="1"/>
  <c r="E191" i="3"/>
  <c r="F191" i="3" s="1" a="1"/>
  <c r="F191" i="3" s="1"/>
  <c r="E207" i="3"/>
  <c r="F207" i="3" s="1" a="1"/>
  <c r="F207" i="3" s="1"/>
  <c r="E222" i="3"/>
  <c r="F222" i="3" s="1" a="1"/>
  <c r="F222" i="3" s="1"/>
  <c r="E233" i="3"/>
  <c r="F233" i="3" s="1" a="1"/>
  <c r="F233" i="3" s="1"/>
  <c r="E119" i="3"/>
  <c r="F119" i="3" s="1" a="1"/>
  <c r="F119" i="3" s="1"/>
  <c r="E136" i="3"/>
  <c r="F136" i="3" s="1" a="1"/>
  <c r="F136" i="3" s="1"/>
  <c r="E141" i="3"/>
  <c r="F141" i="3" s="1" a="1"/>
  <c r="F141" i="3" s="1"/>
  <c r="E3" i="3"/>
  <c r="F3" i="3" s="1" a="1"/>
  <c r="F3" i="3" s="1"/>
  <c r="E2" i="3"/>
  <c r="F2" i="3" s="1" a="1"/>
  <c r="F2" i="3" s="1"/>
  <c r="E4" i="3"/>
  <c r="F4" i="3" s="1" a="1"/>
  <c r="F4" i="3" s="1"/>
  <c r="N219" i="3" l="1"/>
  <c r="I5" i="3" a="1"/>
  <c r="I5" i="3" s="1"/>
  <c r="I106" i="3" a="1"/>
  <c r="I106" i="3" s="1"/>
  <c r="I75" i="3" a="1"/>
  <c r="I75" i="3" s="1"/>
  <c r="I231" i="3" a="1"/>
  <c r="I231" i="3" s="1"/>
  <c r="I139" i="3" a="1"/>
  <c r="I139" i="3" s="1"/>
  <c r="I123" i="3" a="1"/>
  <c r="I123" i="3" s="1"/>
  <c r="I221" i="3" a="1"/>
  <c r="I221" i="3" s="1"/>
  <c r="I205" i="3" a="1"/>
  <c r="I205" i="3" s="1"/>
  <c r="I189" i="3" a="1"/>
  <c r="I189" i="3" s="1"/>
  <c r="I173" i="3" a="1"/>
  <c r="I173" i="3" s="1"/>
  <c r="I157" i="3" a="1"/>
  <c r="I157" i="3" s="1"/>
  <c r="I55" i="3" a="1"/>
  <c r="I55" i="3" s="1"/>
  <c r="I81" i="3" a="1"/>
  <c r="I81" i="3" s="1"/>
  <c r="I90" i="3" a="1"/>
  <c r="I90" i="3" s="1"/>
  <c r="I86" i="3" a="1"/>
  <c r="I86" i="3" s="1"/>
  <c r="I7" i="3" a="1"/>
  <c r="I7" i="3" s="1"/>
  <c r="I105" i="3" a="1"/>
  <c r="I105" i="3" s="1"/>
  <c r="I74" i="3" a="1"/>
  <c r="I74" i="3" s="1"/>
  <c r="I154" i="3" a="1"/>
  <c r="I154" i="3" s="1"/>
  <c r="I138" i="3" a="1"/>
  <c r="I138" i="3" s="1"/>
  <c r="I122" i="3" a="1"/>
  <c r="I122" i="3" s="1"/>
  <c r="I220" i="3" a="1"/>
  <c r="I220" i="3" s="1"/>
  <c r="I204" i="3" a="1"/>
  <c r="I204" i="3" s="1"/>
  <c r="I188" i="3" a="1"/>
  <c r="I188" i="3" s="1"/>
  <c r="I172" i="3" a="1"/>
  <c r="I172" i="3" s="1"/>
  <c r="I156" i="3" a="1"/>
  <c r="I156" i="3" s="1"/>
  <c r="I54" i="3" a="1"/>
  <c r="I54" i="3" s="1"/>
  <c r="I2" i="3" a="1"/>
  <c r="I2" i="3" s="1"/>
  <c r="I22" i="3" a="1"/>
  <c r="I22" i="3" s="1"/>
  <c r="I85" i="3" a="1"/>
  <c r="I85" i="3" s="1"/>
  <c r="I3" i="3" a="1"/>
  <c r="I3" i="3" s="1"/>
  <c r="I104" i="3" a="1"/>
  <c r="I104" i="3" s="1"/>
  <c r="I73" i="3" a="1"/>
  <c r="I73" i="3" s="1"/>
  <c r="I153" i="3" a="1"/>
  <c r="I153" i="3" s="1"/>
  <c r="I137" i="3" a="1"/>
  <c r="I137" i="3" s="1"/>
  <c r="I121" i="3" a="1"/>
  <c r="I121" i="3" s="1"/>
  <c r="I219" i="3" a="1"/>
  <c r="I219" i="3" s="1"/>
  <c r="I203" i="3" a="1"/>
  <c r="I203" i="3" s="1"/>
  <c r="I187" i="3" a="1"/>
  <c r="I187" i="3" s="1"/>
  <c r="I171" i="3" a="1"/>
  <c r="I171" i="3" s="1"/>
  <c r="I155" i="3" a="1"/>
  <c r="I155" i="3" s="1"/>
  <c r="I53" i="3" a="1"/>
  <c r="I53" i="3" s="1"/>
  <c r="I24" i="3" a="1"/>
  <c r="I24" i="3" s="1"/>
  <c r="I21" i="3" a="1"/>
  <c r="I21" i="3" s="1"/>
  <c r="I65" i="3" a="1"/>
  <c r="I65" i="3" s="1"/>
  <c r="I243" i="3" a="1"/>
  <c r="I243" i="3" s="1"/>
  <c r="I103" i="3" a="1"/>
  <c r="I103" i="3" s="1"/>
  <c r="I72" i="3" a="1"/>
  <c r="I72" i="3" s="1"/>
  <c r="I152" i="3" a="1"/>
  <c r="I152" i="3" s="1"/>
  <c r="I136" i="3" a="1"/>
  <c r="I136" i="3" s="1"/>
  <c r="I120" i="3" a="1"/>
  <c r="I120" i="3" s="1"/>
  <c r="I218" i="3" a="1"/>
  <c r="I218" i="3" s="1"/>
  <c r="I202" i="3" a="1"/>
  <c r="I202" i="3" s="1"/>
  <c r="I186" i="3" a="1"/>
  <c r="I186" i="3" s="1"/>
  <c r="I170" i="3" a="1"/>
  <c r="I170" i="3" s="1"/>
  <c r="I47" i="3" a="1"/>
  <c r="I47" i="3" s="1"/>
  <c r="I52" i="3" a="1"/>
  <c r="I52" i="3" s="1"/>
  <c r="I23" i="3" a="1"/>
  <c r="I23" i="3" s="1"/>
  <c r="I20" i="3" a="1"/>
  <c r="I20" i="3" s="1"/>
  <c r="I64" i="3" a="1"/>
  <c r="I64" i="3" s="1"/>
  <c r="I242" i="3" a="1"/>
  <c r="I242" i="3" s="1"/>
  <c r="I102" i="3" a="1"/>
  <c r="I102" i="3" s="1"/>
  <c r="I71" i="3" a="1"/>
  <c r="I71" i="3" s="1"/>
  <c r="I151" i="3" a="1"/>
  <c r="I151" i="3" s="1"/>
  <c r="I135" i="3" a="1"/>
  <c r="I135" i="3" s="1"/>
  <c r="I119" i="3" a="1"/>
  <c r="I119" i="3" s="1"/>
  <c r="I217" i="3" a="1"/>
  <c r="I217" i="3" s="1"/>
  <c r="I201" i="3" a="1"/>
  <c r="I201" i="3" s="1"/>
  <c r="I185" i="3" a="1"/>
  <c r="I185" i="3" s="1"/>
  <c r="I169" i="3" a="1"/>
  <c r="I169" i="3" s="1"/>
  <c r="I46" i="3" a="1"/>
  <c r="I46" i="3" s="1"/>
  <c r="I51" i="3" a="1"/>
  <c r="I51" i="3" s="1"/>
  <c r="I42" i="3" a="1"/>
  <c r="I42" i="3" s="1"/>
  <c r="I19" i="3" a="1"/>
  <c r="I19" i="3" s="1"/>
  <c r="I63" i="3" a="1"/>
  <c r="I63" i="3" s="1"/>
  <c r="I241" i="3" a="1"/>
  <c r="I241" i="3" s="1"/>
  <c r="I101" i="3" a="1"/>
  <c r="I101" i="3" s="1"/>
  <c r="I70" i="3" a="1"/>
  <c r="I70" i="3" s="1"/>
  <c r="I150" i="3" a="1"/>
  <c r="I150" i="3" s="1"/>
  <c r="I134" i="3" a="1"/>
  <c r="I134" i="3" s="1"/>
  <c r="I118" i="3" a="1"/>
  <c r="I118" i="3" s="1"/>
  <c r="I216" i="3" a="1"/>
  <c r="I216" i="3" s="1"/>
  <c r="I200" i="3" a="1"/>
  <c r="I200" i="3" s="1"/>
  <c r="I184" i="3" a="1"/>
  <c r="I184" i="3" s="1"/>
  <c r="I168" i="3" a="1"/>
  <c r="I168" i="3" s="1"/>
  <c r="I45" i="3" a="1"/>
  <c r="I45" i="3" s="1"/>
  <c r="I50" i="3" a="1"/>
  <c r="I50" i="3" s="1"/>
  <c r="I41" i="3" a="1"/>
  <c r="I41" i="3" s="1"/>
  <c r="I18" i="3" a="1"/>
  <c r="I18" i="3" s="1"/>
  <c r="I62" i="3" a="1"/>
  <c r="I62" i="3" s="1"/>
  <c r="I116" i="3" a="1"/>
  <c r="I116" i="3" s="1"/>
  <c r="I100" i="3" a="1"/>
  <c r="I100" i="3" s="1"/>
  <c r="I69" i="3" a="1"/>
  <c r="I69" i="3" s="1"/>
  <c r="I149" i="3" a="1"/>
  <c r="I149" i="3" s="1"/>
  <c r="I133" i="3" a="1"/>
  <c r="I133" i="3" s="1"/>
  <c r="I117" i="3" a="1"/>
  <c r="I117" i="3" s="1"/>
  <c r="I215" i="3" a="1"/>
  <c r="I215" i="3" s="1"/>
  <c r="I199" i="3" a="1"/>
  <c r="I199" i="3" s="1"/>
  <c r="I183" i="3" a="1"/>
  <c r="I183" i="3" s="1"/>
  <c r="I167" i="3" a="1"/>
  <c r="I167" i="3" s="1"/>
  <c r="I44" i="3" a="1"/>
  <c r="I44" i="3" s="1"/>
  <c r="I49" i="3" a="1"/>
  <c r="I49" i="3" s="1"/>
  <c r="I40" i="3" a="1"/>
  <c r="I40" i="3" s="1"/>
  <c r="I17" i="3" a="1"/>
  <c r="I17" i="3" s="1"/>
  <c r="I61" i="3" a="1"/>
  <c r="I61" i="3" s="1"/>
  <c r="I115" i="3" a="1"/>
  <c r="I115" i="3" s="1"/>
  <c r="I99" i="3" a="1"/>
  <c r="I99" i="3" s="1"/>
  <c r="I240" i="3" a="1"/>
  <c r="I240" i="3" s="1"/>
  <c r="I148" i="3" a="1"/>
  <c r="I148" i="3" s="1"/>
  <c r="I132" i="3" a="1"/>
  <c r="I132" i="3" s="1"/>
  <c r="I230" i="3" a="1"/>
  <c r="I230" i="3" s="1"/>
  <c r="I214" i="3" a="1"/>
  <c r="I214" i="3" s="1"/>
  <c r="I198" i="3" a="1"/>
  <c r="I198" i="3" s="1"/>
  <c r="I182" i="3" a="1"/>
  <c r="I182" i="3" s="1"/>
  <c r="I166" i="3" a="1"/>
  <c r="I166" i="3" s="1"/>
  <c r="I43" i="3" a="1"/>
  <c r="I43" i="3" s="1"/>
  <c r="I48" i="3" a="1"/>
  <c r="I48" i="3" s="1"/>
  <c r="I39" i="3" a="1"/>
  <c r="I39" i="3" s="1"/>
  <c r="I16" i="3" a="1"/>
  <c r="I16" i="3" s="1"/>
  <c r="I60" i="3" a="1"/>
  <c r="I60" i="3" s="1"/>
  <c r="I114" i="3" a="1"/>
  <c r="I114" i="3" s="1"/>
  <c r="I98" i="3" a="1"/>
  <c r="I98" i="3" s="1"/>
  <c r="I239" i="3" a="1"/>
  <c r="I239" i="3" s="1"/>
  <c r="I147" i="3" a="1"/>
  <c r="I147" i="3" s="1"/>
  <c r="I131" i="3" a="1"/>
  <c r="I131" i="3" s="1"/>
  <c r="I229" i="3" a="1"/>
  <c r="I229" i="3" s="1"/>
  <c r="I213" i="3" a="1"/>
  <c r="I213" i="3" s="1"/>
  <c r="I197" i="3" a="1"/>
  <c r="I197" i="3" s="1"/>
  <c r="I181" i="3" a="1"/>
  <c r="I181" i="3" s="1"/>
  <c r="I165" i="3" a="1"/>
  <c r="I165" i="3" s="1"/>
  <c r="I93" i="3" a="1"/>
  <c r="I93" i="3" s="1"/>
  <c r="I87" i="3" a="1"/>
  <c r="I87" i="3" s="1"/>
  <c r="I38" i="3" a="1"/>
  <c r="I38" i="3" s="1"/>
  <c r="I15" i="3" a="1"/>
  <c r="I15" i="3" s="1"/>
  <c r="I59" i="3" a="1"/>
  <c r="I59" i="3" s="1"/>
  <c r="I113" i="3" a="1"/>
  <c r="I113" i="3" s="1"/>
  <c r="I97" i="3" a="1"/>
  <c r="I97" i="3" s="1"/>
  <c r="I238" i="3" a="1"/>
  <c r="I238" i="3" s="1"/>
  <c r="I146" i="3" a="1"/>
  <c r="I146" i="3" s="1"/>
  <c r="I130" i="3" a="1"/>
  <c r="I130" i="3" s="1"/>
  <c r="I228" i="3" a="1"/>
  <c r="I228" i="3" s="1"/>
  <c r="I212" i="3" a="1"/>
  <c r="I212" i="3" s="1"/>
  <c r="I196" i="3" a="1"/>
  <c r="I196" i="3" s="1"/>
  <c r="I180" i="3" a="1"/>
  <c r="I180" i="3" s="1"/>
  <c r="I164" i="3" a="1"/>
  <c r="I164" i="3" s="1"/>
  <c r="I29" i="3" a="1"/>
  <c r="I29" i="3" s="1"/>
  <c r="I95" i="3" a="1"/>
  <c r="I95" i="3" s="1"/>
  <c r="I37" i="3" a="1"/>
  <c r="I37" i="3" s="1"/>
  <c r="I14" i="3" a="1"/>
  <c r="I14" i="3" s="1"/>
  <c r="I58" i="3" a="1"/>
  <c r="I58" i="3" s="1"/>
  <c r="I112" i="3" a="1"/>
  <c r="I112" i="3" s="1"/>
  <c r="I96" i="3" a="1"/>
  <c r="I96" i="3" s="1"/>
  <c r="I237" i="3" a="1"/>
  <c r="I237" i="3" s="1"/>
  <c r="I145" i="3" a="1"/>
  <c r="I145" i="3" s="1"/>
  <c r="I129" i="3" a="1"/>
  <c r="I129" i="3" s="1"/>
  <c r="I227" i="3" a="1"/>
  <c r="I227" i="3" s="1"/>
  <c r="I211" i="3" a="1"/>
  <c r="I211" i="3" s="1"/>
  <c r="I195" i="3" a="1"/>
  <c r="I195" i="3" s="1"/>
  <c r="I179" i="3" a="1"/>
  <c r="I179" i="3" s="1"/>
  <c r="I163" i="3" a="1"/>
  <c r="I163" i="3" s="1"/>
  <c r="I28" i="3" a="1"/>
  <c r="I28" i="3" s="1"/>
  <c r="I94" i="3" a="1"/>
  <c r="I94" i="3" s="1"/>
  <c r="I36" i="3" a="1"/>
  <c r="I36" i="3" s="1"/>
  <c r="I13" i="3" a="1"/>
  <c r="I13" i="3" s="1"/>
  <c r="I57" i="3" a="1"/>
  <c r="I57" i="3" s="1"/>
  <c r="I111" i="3" a="1"/>
  <c r="I111" i="3" s="1"/>
  <c r="I80" i="3" a="1"/>
  <c r="I80" i="3" s="1"/>
  <c r="I236" i="3" a="1"/>
  <c r="I236" i="3" s="1"/>
  <c r="I144" i="3" a="1"/>
  <c r="I144" i="3" s="1"/>
  <c r="I128" i="3" a="1"/>
  <c r="I128" i="3" s="1"/>
  <c r="I226" i="3" a="1"/>
  <c r="I226" i="3" s="1"/>
  <c r="I210" i="3" a="1"/>
  <c r="I210" i="3" s="1"/>
  <c r="I194" i="3" a="1"/>
  <c r="I194" i="3" s="1"/>
  <c r="I178" i="3" a="1"/>
  <c r="I178" i="3" s="1"/>
  <c r="I162" i="3" a="1"/>
  <c r="I162" i="3" s="1"/>
  <c r="I27" i="3" a="1"/>
  <c r="I27" i="3" s="1"/>
  <c r="I26" i="3" a="1"/>
  <c r="I26" i="3" s="1"/>
  <c r="I35" i="3" a="1"/>
  <c r="I35" i="3" s="1"/>
  <c r="I12" i="3" a="1"/>
  <c r="I12" i="3" s="1"/>
  <c r="I56" i="3" a="1"/>
  <c r="I56" i="3" s="1"/>
  <c r="I110" i="3" a="1"/>
  <c r="I110" i="3" s="1"/>
  <c r="I79" i="3" a="1"/>
  <c r="I79" i="3" s="1"/>
  <c r="I235" i="3" a="1"/>
  <c r="I235" i="3" s="1"/>
  <c r="I143" i="3" a="1"/>
  <c r="I143" i="3" s="1"/>
  <c r="I127" i="3" a="1"/>
  <c r="I127" i="3" s="1"/>
  <c r="I225" i="3" a="1"/>
  <c r="I225" i="3" s="1"/>
  <c r="I209" i="3" a="1"/>
  <c r="I209" i="3" s="1"/>
  <c r="I193" i="3" a="1"/>
  <c r="I193" i="3" s="1"/>
  <c r="I177" i="3" a="1"/>
  <c r="I177" i="3" s="1"/>
  <c r="I161" i="3" a="1"/>
  <c r="I161" i="3" s="1"/>
  <c r="I89" i="3" a="1"/>
  <c r="I89" i="3" s="1"/>
  <c r="I25" i="3" a="1"/>
  <c r="I25" i="3" s="1"/>
  <c r="I34" i="3" a="1"/>
  <c r="I34" i="3" s="1"/>
  <c r="I68" i="3" a="1"/>
  <c r="I68" i="3" s="1"/>
  <c r="I11" i="3" a="1"/>
  <c r="I11" i="3" s="1"/>
  <c r="I109" i="3" a="1"/>
  <c r="I109" i="3" s="1"/>
  <c r="I78" i="3" a="1"/>
  <c r="I78" i="3" s="1"/>
  <c r="I234" i="3" a="1"/>
  <c r="I234" i="3" s="1"/>
  <c r="I142" i="3" a="1"/>
  <c r="I142" i="3" s="1"/>
  <c r="I126" i="3" a="1"/>
  <c r="I126" i="3" s="1"/>
  <c r="I224" i="3" a="1"/>
  <c r="I224" i="3" s="1"/>
  <c r="I208" i="3" a="1"/>
  <c r="I208" i="3" s="1"/>
  <c r="I192" i="3" a="1"/>
  <c r="I192" i="3" s="1"/>
  <c r="I176" i="3" a="1"/>
  <c r="I176" i="3" s="1"/>
  <c r="I160" i="3" a="1"/>
  <c r="I160" i="3" s="1"/>
  <c r="I88" i="3" a="1"/>
  <c r="I88" i="3" s="1"/>
  <c r="I84" i="3" a="1"/>
  <c r="I84" i="3" s="1"/>
  <c r="I33" i="3" a="1"/>
  <c r="I33" i="3" s="1"/>
  <c r="I67" i="3" a="1"/>
  <c r="I67" i="3" s="1"/>
  <c r="I10" i="3" a="1"/>
  <c r="I10" i="3" s="1"/>
  <c r="I4" i="3" a="1"/>
  <c r="I4" i="3" s="1"/>
  <c r="I108" i="3" a="1"/>
  <c r="I108" i="3" s="1"/>
  <c r="I77" i="3" a="1"/>
  <c r="I77" i="3" s="1"/>
  <c r="I233" i="3" a="1"/>
  <c r="I233" i="3" s="1"/>
  <c r="I141" i="3" a="1"/>
  <c r="I141" i="3" s="1"/>
  <c r="I125" i="3" a="1"/>
  <c r="I125" i="3" s="1"/>
  <c r="I223" i="3" a="1"/>
  <c r="I223" i="3" s="1"/>
  <c r="I207" i="3" a="1"/>
  <c r="I207" i="3" s="1"/>
  <c r="I191" i="3" a="1"/>
  <c r="I191" i="3" s="1"/>
  <c r="I175" i="3" a="1"/>
  <c r="I175" i="3" s="1"/>
  <c r="I159" i="3" a="1"/>
  <c r="I159" i="3" s="1"/>
  <c r="I92" i="3" a="1"/>
  <c r="I92" i="3" s="1"/>
  <c r="I83" i="3" a="1"/>
  <c r="I83" i="3" s="1"/>
  <c r="I32" i="3" a="1"/>
  <c r="I32" i="3" s="1"/>
  <c r="I66" i="3" a="1"/>
  <c r="I66" i="3" s="1"/>
  <c r="I9" i="3" a="1"/>
  <c r="I9" i="3" s="1"/>
  <c r="I6" i="3" a="1"/>
  <c r="I6" i="3" s="1"/>
  <c r="I107" i="3" a="1"/>
  <c r="I107" i="3" s="1"/>
  <c r="I76" i="3" a="1"/>
  <c r="I76" i="3" s="1"/>
  <c r="I232" i="3" a="1"/>
  <c r="I232" i="3" s="1"/>
  <c r="I140" i="3" a="1"/>
  <c r="I140" i="3" s="1"/>
  <c r="I124" i="3" a="1"/>
  <c r="I124" i="3" s="1"/>
  <c r="I222" i="3" a="1"/>
  <c r="I222" i="3" s="1"/>
  <c r="I206" i="3" a="1"/>
  <c r="I206" i="3" s="1"/>
  <c r="I190" i="3" a="1"/>
  <c r="I190" i="3" s="1"/>
  <c r="I174" i="3" a="1"/>
  <c r="I174" i="3" s="1"/>
  <c r="I158" i="3" a="1"/>
  <c r="I158" i="3" s="1"/>
  <c r="I91" i="3" a="1"/>
  <c r="I91" i="3" s="1"/>
  <c r="I82" i="3" a="1"/>
  <c r="I82" i="3" s="1"/>
  <c r="I31" i="3" a="1"/>
  <c r="I31" i="3" s="1"/>
  <c r="I30" i="3" a="1"/>
  <c r="I30" i="3" s="1"/>
  <c r="I8" i="3" a="1"/>
  <c r="I8" i="3" s="1"/>
  <c r="F204" i="3" a="1"/>
  <c r="F204" i="3" s="1"/>
  <c r="O204" i="3" s="1"/>
  <c r="F158" i="3" a="1"/>
  <c r="F158" i="3" s="1"/>
  <c r="F91" i="3" a="1"/>
  <c r="F91" i="3" s="1"/>
  <c r="O91" i="3" s="1"/>
  <c r="F84" i="3" a="1"/>
  <c r="F84" i="3" s="1"/>
  <c r="N84" i="3" s="1"/>
  <c r="F72" i="3" a="1"/>
  <c r="F72" i="3" s="1"/>
  <c r="F152" i="3" a="1"/>
  <c r="F152" i="3" s="1"/>
  <c r="N152" i="3" s="1"/>
  <c r="F134" i="3" a="1"/>
  <c r="F134" i="3" s="1"/>
  <c r="O134" i="3" s="1"/>
  <c r="F100" i="3" a="1"/>
  <c r="F100" i="3" s="1"/>
  <c r="F70" i="3" a="1"/>
  <c r="F70" i="3" s="1"/>
  <c r="F23" i="3" a="1"/>
  <c r="F23" i="3" s="1"/>
  <c r="O23" i="3" s="1"/>
  <c r="F179" i="3" a="1"/>
  <c r="F179" i="3" s="1"/>
  <c r="O179" i="3" s="1"/>
  <c r="F111" i="3" a="1"/>
  <c r="F111" i="3" s="1"/>
  <c r="N111" i="3" s="1"/>
  <c r="F7" i="3" a="1"/>
  <c r="F7" i="3" s="1"/>
  <c r="F94" i="3" a="1"/>
  <c r="F94" i="3" s="1"/>
  <c r="N94" i="3" s="1"/>
  <c r="F62" i="3" a="1"/>
  <c r="F62" i="3" s="1"/>
  <c r="O13" i="3"/>
  <c r="O219" i="3"/>
  <c r="N162" i="3"/>
  <c r="O110" i="3"/>
  <c r="O89" i="3"/>
  <c r="O45" i="3"/>
  <c r="N161" i="3"/>
  <c r="O201" i="3"/>
  <c r="N17" i="3"/>
  <c r="O235" i="3"/>
  <c r="O207" i="3"/>
  <c r="O195" i="3"/>
  <c r="N177" i="3"/>
  <c r="O160" i="3"/>
  <c r="N146" i="3"/>
  <c r="O109" i="3"/>
  <c r="O87" i="3"/>
  <c r="O44" i="3"/>
  <c r="O15" i="3"/>
  <c r="O233" i="3"/>
  <c r="O215" i="3"/>
  <c r="N193" i="3"/>
  <c r="O175" i="3"/>
  <c r="N113" i="3"/>
  <c r="O106" i="3"/>
  <c r="O37" i="3"/>
  <c r="O42" i="3"/>
  <c r="O25" i="3"/>
  <c r="O174" i="3"/>
  <c r="O105" i="3"/>
  <c r="O206" i="3"/>
  <c r="O19" i="3"/>
  <c r="O231" i="3"/>
  <c r="O217" i="3"/>
  <c r="O191" i="3"/>
  <c r="O173" i="3"/>
  <c r="O103" i="3"/>
  <c r="O40" i="3"/>
  <c r="O24" i="3"/>
  <c r="O218" i="3"/>
  <c r="O41" i="3"/>
  <c r="O205" i="3"/>
  <c r="N18" i="3"/>
  <c r="O229" i="3"/>
  <c r="O190" i="3"/>
  <c r="O172" i="3"/>
  <c r="O102" i="3"/>
  <c r="O39" i="3"/>
  <c r="O22" i="3"/>
  <c r="O43" i="3"/>
  <c r="O203" i="3"/>
  <c r="O14" i="3"/>
  <c r="O228" i="3"/>
  <c r="O214" i="3"/>
  <c r="O189" i="3"/>
  <c r="O171" i="3"/>
  <c r="O155" i="3"/>
  <c r="O121" i="3"/>
  <c r="O101" i="3"/>
  <c r="O38" i="3"/>
  <c r="O232" i="3"/>
  <c r="O192" i="3"/>
  <c r="O83" i="3"/>
  <c r="O216" i="3"/>
  <c r="O159" i="3"/>
  <c r="O12" i="3"/>
  <c r="O227" i="3"/>
  <c r="O213" i="3"/>
  <c r="O187" i="3"/>
  <c r="O170" i="3"/>
  <c r="O154" i="3"/>
  <c r="O120" i="3"/>
  <c r="O99" i="3"/>
  <c r="N82" i="3"/>
  <c r="N226" i="3"/>
  <c r="O212" i="3"/>
  <c r="O188" i="3"/>
  <c r="O163" i="3"/>
  <c r="O136" i="3"/>
  <c r="O118" i="3"/>
  <c r="N98" i="3"/>
  <c r="N81" i="3"/>
  <c r="N178" i="3"/>
  <c r="O202" i="3"/>
  <c r="O236" i="3"/>
  <c r="O196" i="3"/>
  <c r="O211" i="3"/>
  <c r="O185" i="3"/>
  <c r="O168" i="3"/>
  <c r="O149" i="3"/>
  <c r="O133" i="3"/>
  <c r="O116" i="3"/>
  <c r="O95" i="3"/>
  <c r="N225" i="3"/>
  <c r="O186" i="3"/>
  <c r="O169" i="3"/>
  <c r="O151" i="3"/>
  <c r="O117" i="3"/>
  <c r="N97" i="3"/>
  <c r="O238" i="3"/>
  <c r="O224" i="3"/>
  <c r="N209" i="3"/>
  <c r="O184" i="3"/>
  <c r="O167" i="3"/>
  <c r="O148" i="3"/>
  <c r="O131" i="3"/>
  <c r="O115" i="3"/>
  <c r="O240" i="3"/>
  <c r="O230" i="3"/>
  <c r="O222" i="3"/>
  <c r="O200" i="3"/>
  <c r="O182" i="3"/>
  <c r="O166" i="3"/>
  <c r="O147" i="3"/>
  <c r="N130" i="3"/>
  <c r="N114" i="3"/>
  <c r="O93" i="3"/>
  <c r="O243" i="3"/>
  <c r="N241" i="3"/>
  <c r="O239" i="3"/>
  <c r="O221" i="3"/>
  <c r="O198" i="3"/>
  <c r="O181" i="3"/>
  <c r="O165" i="3"/>
  <c r="N145" i="3"/>
  <c r="O112" i="3"/>
  <c r="O20" i="3"/>
  <c r="O47" i="3"/>
  <c r="O183" i="3"/>
  <c r="N242" i="3"/>
  <c r="O237" i="3"/>
  <c r="O220" i="3"/>
  <c r="O197" i="3"/>
  <c r="O180" i="3"/>
  <c r="O164" i="3"/>
  <c r="O144" i="3"/>
  <c r="O90" i="3"/>
  <c r="O21" i="3"/>
  <c r="O46" i="3"/>
  <c r="O11" i="3"/>
  <c r="O10" i="3"/>
  <c r="N240" i="3"/>
  <c r="N224" i="3"/>
  <c r="N192" i="3"/>
  <c r="N160" i="3"/>
  <c r="N144" i="3"/>
  <c r="N112" i="3"/>
  <c r="O242" i="3"/>
  <c r="O226" i="3"/>
  <c r="O178" i="3"/>
  <c r="O162" i="3"/>
  <c r="O146" i="3"/>
  <c r="O130" i="3"/>
  <c r="O114" i="3"/>
  <c r="O98" i="3"/>
  <c r="O82" i="3"/>
  <c r="O18" i="3"/>
  <c r="N239" i="3"/>
  <c r="N207" i="3"/>
  <c r="N191" i="3"/>
  <c r="N175" i="3"/>
  <c r="N159" i="3"/>
  <c r="N95" i="3"/>
  <c r="N47" i="3"/>
  <c r="N15" i="3"/>
  <c r="O241" i="3"/>
  <c r="O225" i="3"/>
  <c r="O209" i="3"/>
  <c r="O193" i="3"/>
  <c r="O177" i="3"/>
  <c r="O161" i="3"/>
  <c r="O145" i="3"/>
  <c r="O113" i="3"/>
  <c r="O97" i="3"/>
  <c r="O81" i="3"/>
  <c r="O17" i="3"/>
  <c r="N238" i="3"/>
  <c r="N222" i="3"/>
  <c r="N206" i="3"/>
  <c r="N190" i="3"/>
  <c r="N174" i="3"/>
  <c r="N110" i="3"/>
  <c r="N46" i="3"/>
  <c r="N14" i="3"/>
  <c r="N237" i="3"/>
  <c r="N221" i="3"/>
  <c r="N205" i="3"/>
  <c r="N189" i="3"/>
  <c r="N173" i="3"/>
  <c r="N109" i="3"/>
  <c r="N93" i="3"/>
  <c r="N45" i="3"/>
  <c r="N13" i="3"/>
  <c r="N236" i="3"/>
  <c r="N220" i="3"/>
  <c r="N204" i="3"/>
  <c r="N188" i="3"/>
  <c r="N172" i="3"/>
  <c r="N44" i="3"/>
  <c r="N12" i="3"/>
  <c r="N235" i="3"/>
  <c r="N203" i="3"/>
  <c r="N187" i="3"/>
  <c r="N171" i="3"/>
  <c r="N155" i="3"/>
  <c r="N43" i="3"/>
  <c r="N11" i="3"/>
  <c r="N218" i="3"/>
  <c r="N202" i="3"/>
  <c r="N186" i="3"/>
  <c r="N170" i="3"/>
  <c r="N154" i="3"/>
  <c r="N106" i="3"/>
  <c r="N90" i="3"/>
  <c r="N42" i="3"/>
  <c r="N10" i="3"/>
  <c r="N233" i="3"/>
  <c r="N217" i="3"/>
  <c r="N201" i="3"/>
  <c r="N185" i="3"/>
  <c r="N169" i="3"/>
  <c r="N121" i="3"/>
  <c r="N105" i="3"/>
  <c r="N89" i="3"/>
  <c r="N41" i="3"/>
  <c r="N25" i="3"/>
  <c r="N232" i="3"/>
  <c r="N216" i="3"/>
  <c r="N184" i="3"/>
  <c r="N168" i="3"/>
  <c r="N136" i="3"/>
  <c r="N120" i="3"/>
  <c r="N40" i="3"/>
  <c r="N24" i="3"/>
  <c r="N231" i="3"/>
  <c r="N215" i="3"/>
  <c r="N183" i="3"/>
  <c r="N167" i="3"/>
  <c r="N151" i="3"/>
  <c r="N103" i="3"/>
  <c r="N87" i="3"/>
  <c r="N39" i="3"/>
  <c r="N230" i="3"/>
  <c r="N214" i="3"/>
  <c r="N182" i="3"/>
  <c r="N166" i="3"/>
  <c r="N118" i="3"/>
  <c r="N102" i="3"/>
  <c r="N38" i="3"/>
  <c r="N22" i="3"/>
  <c r="N229" i="3"/>
  <c r="N213" i="3"/>
  <c r="N181" i="3"/>
  <c r="N165" i="3"/>
  <c r="N149" i="3"/>
  <c r="N133" i="3"/>
  <c r="N117" i="3"/>
  <c r="N101" i="3"/>
  <c r="N37" i="3"/>
  <c r="N21" i="3"/>
  <c r="N228" i="3"/>
  <c r="N212" i="3"/>
  <c r="N196" i="3"/>
  <c r="N180" i="3"/>
  <c r="N164" i="3"/>
  <c r="N148" i="3"/>
  <c r="N116" i="3"/>
  <c r="N20" i="3"/>
  <c r="N243" i="3"/>
  <c r="N227" i="3"/>
  <c r="N211" i="3"/>
  <c r="N195" i="3"/>
  <c r="N163" i="3"/>
  <c r="N147" i="3"/>
  <c r="N131" i="3"/>
  <c r="N115" i="3"/>
  <c r="N99" i="3"/>
  <c r="N83" i="3"/>
  <c r="N19" i="3"/>
  <c r="G235" i="3" a="1"/>
  <c r="G235" i="3" s="1"/>
  <c r="G143" i="3" a="1"/>
  <c r="G143" i="3" s="1"/>
  <c r="G127" i="3" a="1"/>
  <c r="G127" i="3" s="1"/>
  <c r="G117" i="3" a="1"/>
  <c r="G117" i="3" s="1"/>
  <c r="G225" i="3" a="1"/>
  <c r="G225" i="3" s="1"/>
  <c r="G215" i="3" a="1"/>
  <c r="G215" i="3" s="1"/>
  <c r="G199" i="3" a="1"/>
  <c r="G199" i="3" s="1"/>
  <c r="G193" i="3" a="1"/>
  <c r="G193" i="3" s="1"/>
  <c r="G183" i="3" a="1"/>
  <c r="G183" i="3" s="1"/>
  <c r="G177" i="3" a="1"/>
  <c r="G177" i="3" s="1"/>
  <c r="G167" i="3" a="1"/>
  <c r="G167" i="3" s="1"/>
  <c r="G29" i="3" a="1"/>
  <c r="G29" i="3" s="1"/>
  <c r="G25" i="3" a="1"/>
  <c r="G25" i="3" s="1"/>
  <c r="G37" i="3" a="1"/>
  <c r="G37" i="3" s="1"/>
  <c r="G114" i="3" a="1"/>
  <c r="G114" i="3" s="1"/>
  <c r="G98" i="3" a="1"/>
  <c r="G98" i="3" s="1"/>
  <c r="G239" i="3" a="1"/>
  <c r="G239" i="3" s="1"/>
  <c r="G147" i="3" a="1"/>
  <c r="G147" i="3" s="1"/>
  <c r="G131" i="3" a="1"/>
  <c r="G131" i="3" s="1"/>
  <c r="G229" i="3" a="1"/>
  <c r="G229" i="3" s="1"/>
  <c r="G213" i="3" a="1"/>
  <c r="G213" i="3" s="1"/>
  <c r="G197" i="3" a="1"/>
  <c r="G197" i="3" s="1"/>
  <c r="G181" i="3" a="1"/>
  <c r="G181" i="3" s="1"/>
  <c r="G165" i="3" a="1"/>
  <c r="G165" i="3" s="1"/>
  <c r="G93" i="3" a="1"/>
  <c r="G93" i="3" s="1"/>
  <c r="G87" i="3" a="1"/>
  <c r="G87" i="3" s="1"/>
  <c r="G38" i="3" a="1"/>
  <c r="G38" i="3" s="1"/>
  <c r="G63" i="3" a="1"/>
  <c r="G63" i="3" s="1"/>
  <c r="G113" i="3" a="1"/>
  <c r="G113" i="3" s="1"/>
  <c r="G97" i="3" a="1"/>
  <c r="G97" i="3" s="1"/>
  <c r="G238" i="3" a="1"/>
  <c r="G238" i="3" s="1"/>
  <c r="G146" i="3" a="1"/>
  <c r="G146" i="3" s="1"/>
  <c r="G130" i="3" a="1"/>
  <c r="G130" i="3" s="1"/>
  <c r="G228" i="3" a="1"/>
  <c r="G228" i="3" s="1"/>
  <c r="G212" i="3" a="1"/>
  <c r="G212" i="3" s="1"/>
  <c r="G196" i="3" a="1"/>
  <c r="G196" i="3" s="1"/>
  <c r="G180" i="3" a="1"/>
  <c r="G180" i="3" s="1"/>
  <c r="G164" i="3" a="1"/>
  <c r="G164" i="3" s="1"/>
  <c r="G95" i="3" a="1"/>
  <c r="G95" i="3" s="1"/>
  <c r="G112" i="3" a="1"/>
  <c r="G112" i="3" s="1"/>
  <c r="G96" i="3" a="1"/>
  <c r="G96" i="3" s="1"/>
  <c r="G237" i="3" a="1"/>
  <c r="G237" i="3" s="1"/>
  <c r="G145" i="3" a="1"/>
  <c r="G145" i="3" s="1"/>
  <c r="G129" i="3" a="1"/>
  <c r="G129" i="3" s="1"/>
  <c r="G227" i="3" a="1"/>
  <c r="G227" i="3" s="1"/>
  <c r="G211" i="3" a="1"/>
  <c r="G211" i="3" s="1"/>
  <c r="G195" i="3" a="1"/>
  <c r="G195" i="3" s="1"/>
  <c r="G163" i="3" a="1"/>
  <c r="G163" i="3" s="1"/>
  <c r="G28" i="3" a="1"/>
  <c r="G28" i="3" s="1"/>
  <c r="G36" i="3" a="1"/>
  <c r="G36" i="3" s="1"/>
  <c r="G61" i="3" a="1"/>
  <c r="G61" i="3" s="1"/>
  <c r="G80" i="3" a="1"/>
  <c r="G80" i="3" s="1"/>
  <c r="G236" i="3" a="1"/>
  <c r="G236" i="3" s="1"/>
  <c r="G144" i="3" a="1"/>
  <c r="G144" i="3" s="1"/>
  <c r="G128" i="3" a="1"/>
  <c r="G128" i="3" s="1"/>
  <c r="G226" i="3" a="1"/>
  <c r="G226" i="3" s="1"/>
  <c r="G210" i="3" a="1"/>
  <c r="G210" i="3" s="1"/>
  <c r="G194" i="3" a="1"/>
  <c r="G194" i="3" s="1"/>
  <c r="G178" i="3" a="1"/>
  <c r="G178" i="3" s="1"/>
  <c r="G162" i="3" a="1"/>
  <c r="G162" i="3" s="1"/>
  <c r="G27" i="3" a="1"/>
  <c r="G27" i="3" s="1"/>
  <c r="G26" i="3" a="1"/>
  <c r="G26" i="3" s="1"/>
  <c r="G60" i="3" a="1"/>
  <c r="G60" i="3" s="1"/>
  <c r="G209" i="3" a="1"/>
  <c r="G209" i="3" s="1"/>
  <c r="G161" i="3" a="1"/>
  <c r="G161" i="3" s="1"/>
  <c r="G89" i="3" a="1"/>
  <c r="G89" i="3" s="1"/>
  <c r="G35" i="3" a="1"/>
  <c r="G35" i="3" s="1"/>
  <c r="G59" i="3" a="1"/>
  <c r="G59" i="3" s="1"/>
  <c r="G110" i="3" a="1"/>
  <c r="G110" i="3" s="1"/>
  <c r="G79" i="3" a="1"/>
  <c r="G79" i="3" s="1"/>
  <c r="G109" i="3" a="1"/>
  <c r="G109" i="3" s="1"/>
  <c r="G78" i="3" a="1"/>
  <c r="G78" i="3" s="1"/>
  <c r="G234" i="3" a="1"/>
  <c r="G234" i="3" s="1"/>
  <c r="G142" i="3" a="1"/>
  <c r="G142" i="3" s="1"/>
  <c r="G126" i="3" a="1"/>
  <c r="G126" i="3" s="1"/>
  <c r="G224" i="3" a="1"/>
  <c r="G224" i="3" s="1"/>
  <c r="G208" i="3" a="1"/>
  <c r="G208" i="3" s="1"/>
  <c r="G192" i="3" a="1"/>
  <c r="G192" i="3" s="1"/>
  <c r="G176" i="3" a="1"/>
  <c r="G176" i="3" s="1"/>
  <c r="G160" i="3" a="1"/>
  <c r="G160" i="3" s="1"/>
  <c r="G88" i="3" a="1"/>
  <c r="G88" i="3" s="1"/>
  <c r="G34" i="3" a="1"/>
  <c r="G34" i="3" s="1"/>
  <c r="G58" i="3" a="1"/>
  <c r="G58" i="3" s="1"/>
  <c r="G108" i="3" a="1"/>
  <c r="G108" i="3" s="1"/>
  <c r="G77" i="3" a="1"/>
  <c r="G77" i="3" s="1"/>
  <c r="G233" i="3" a="1"/>
  <c r="G233" i="3" s="1"/>
  <c r="G141" i="3" a="1"/>
  <c r="G141" i="3" s="1"/>
  <c r="G125" i="3" a="1"/>
  <c r="G125" i="3" s="1"/>
  <c r="G223" i="3" a="1"/>
  <c r="G223" i="3" s="1"/>
  <c r="G207" i="3" a="1"/>
  <c r="G207" i="3" s="1"/>
  <c r="G191" i="3" a="1"/>
  <c r="G191" i="3" s="1"/>
  <c r="G175" i="3" a="1"/>
  <c r="G175" i="3" s="1"/>
  <c r="G159" i="3" a="1"/>
  <c r="G159" i="3" s="1"/>
  <c r="G92" i="3" a="1"/>
  <c r="G92" i="3" s="1"/>
  <c r="G83" i="3" a="1"/>
  <c r="G83" i="3" s="1"/>
  <c r="G33" i="3" a="1"/>
  <c r="G33" i="3" s="1"/>
  <c r="G57" i="3" a="1"/>
  <c r="G57" i="3" s="1"/>
  <c r="G107" i="3" a="1"/>
  <c r="G107" i="3" s="1"/>
  <c r="G76" i="3" a="1"/>
  <c r="G76" i="3" s="1"/>
  <c r="G232" i="3" a="1"/>
  <c r="G232" i="3" s="1"/>
  <c r="G140" i="3" a="1"/>
  <c r="G140" i="3" s="1"/>
  <c r="G124" i="3" a="1"/>
  <c r="G124" i="3" s="1"/>
  <c r="G222" i="3" a="1"/>
  <c r="G222" i="3" s="1"/>
  <c r="G206" i="3" a="1"/>
  <c r="G206" i="3" s="1"/>
  <c r="G190" i="3" a="1"/>
  <c r="G190" i="3" s="1"/>
  <c r="G174" i="3" a="1"/>
  <c r="G174" i="3" s="1"/>
  <c r="G82" i="3" a="1"/>
  <c r="G82" i="3" s="1"/>
  <c r="G32" i="3" a="1"/>
  <c r="G32" i="3" s="1"/>
  <c r="G68" i="3" a="1"/>
  <c r="G68" i="3" s="1"/>
  <c r="G106" i="3" a="1"/>
  <c r="G106" i="3" s="1"/>
  <c r="G75" i="3" a="1"/>
  <c r="G75" i="3" s="1"/>
  <c r="G231" i="3" a="1"/>
  <c r="G231" i="3" s="1"/>
  <c r="G139" i="3" a="1"/>
  <c r="G139" i="3" s="1"/>
  <c r="G123" i="3" a="1"/>
  <c r="G123" i="3" s="1"/>
  <c r="G221" i="3" a="1"/>
  <c r="G221" i="3" s="1"/>
  <c r="G205" i="3" a="1"/>
  <c r="G205" i="3" s="1"/>
  <c r="G189" i="3" a="1"/>
  <c r="G189" i="3" s="1"/>
  <c r="G173" i="3" a="1"/>
  <c r="G173" i="3" s="1"/>
  <c r="G157" i="3" a="1"/>
  <c r="G157" i="3" s="1"/>
  <c r="G55" i="3" a="1"/>
  <c r="G55" i="3" s="1"/>
  <c r="G81" i="3" a="1"/>
  <c r="G81" i="3" s="1"/>
  <c r="G31" i="3" a="1"/>
  <c r="G31" i="3" s="1"/>
  <c r="G67" i="3" a="1"/>
  <c r="G67" i="3" s="1"/>
  <c r="G56" i="3" a="1"/>
  <c r="G56" i="3" s="1"/>
  <c r="G9" i="3" a="1"/>
  <c r="G9" i="3" s="1"/>
  <c r="G105" i="3" a="1"/>
  <c r="G105" i="3" s="1"/>
  <c r="G74" i="3" a="1"/>
  <c r="G74" i="3" s="1"/>
  <c r="G154" i="3" a="1"/>
  <c r="G154" i="3" s="1"/>
  <c r="G138" i="3" a="1"/>
  <c r="G138" i="3" s="1"/>
  <c r="G122" i="3" a="1"/>
  <c r="G122" i="3" s="1"/>
  <c r="G220" i="3" a="1"/>
  <c r="G220" i="3" s="1"/>
  <c r="G188" i="3" a="1"/>
  <c r="G188" i="3" s="1"/>
  <c r="G172" i="3" a="1"/>
  <c r="G172" i="3" s="1"/>
  <c r="G156" i="3" a="1"/>
  <c r="G156" i="3" s="1"/>
  <c r="G54" i="3" a="1"/>
  <c r="G54" i="3" s="1"/>
  <c r="G2" i="3" a="1"/>
  <c r="G2" i="3" s="1"/>
  <c r="G90" i="3" a="1"/>
  <c r="G90" i="3" s="1"/>
  <c r="G66" i="3" a="1"/>
  <c r="G66" i="3" s="1"/>
  <c r="G11" i="3" a="1"/>
  <c r="G11" i="3" s="1"/>
  <c r="G3" i="3" a="1"/>
  <c r="G3" i="3" s="1"/>
  <c r="G104" i="3" a="1"/>
  <c r="G104" i="3" s="1"/>
  <c r="G73" i="3" a="1"/>
  <c r="G73" i="3" s="1"/>
  <c r="G153" i="3" a="1"/>
  <c r="G153" i="3" s="1"/>
  <c r="G137" i="3" a="1"/>
  <c r="G137" i="3" s="1"/>
  <c r="G121" i="3" a="1"/>
  <c r="G121" i="3" s="1"/>
  <c r="G219" i="3" a="1"/>
  <c r="G219" i="3" s="1"/>
  <c r="G203" i="3" a="1"/>
  <c r="G203" i="3" s="1"/>
  <c r="G187" i="3" a="1"/>
  <c r="G187" i="3" s="1"/>
  <c r="G171" i="3" a="1"/>
  <c r="G171" i="3" s="1"/>
  <c r="G155" i="3" a="1"/>
  <c r="G155" i="3" s="1"/>
  <c r="G53" i="3" a="1"/>
  <c r="G53" i="3" s="1"/>
  <c r="G24" i="3" a="1"/>
  <c r="G24" i="3" s="1"/>
  <c r="G30" i="3" a="1"/>
  <c r="G30" i="3" s="1"/>
  <c r="G10" i="3" a="1"/>
  <c r="G10" i="3" s="1"/>
  <c r="G243" i="3" a="1"/>
  <c r="G243" i="3" s="1"/>
  <c r="G103" i="3" a="1"/>
  <c r="G103" i="3" s="1"/>
  <c r="G136" i="3" a="1"/>
  <c r="G136" i="3" s="1"/>
  <c r="G120" i="3" a="1"/>
  <c r="G120" i="3" s="1"/>
  <c r="G218" i="3" a="1"/>
  <c r="G218" i="3" s="1"/>
  <c r="G202" i="3" a="1"/>
  <c r="G202" i="3" s="1"/>
  <c r="G186" i="3" a="1"/>
  <c r="G186" i="3" s="1"/>
  <c r="G170" i="3" a="1"/>
  <c r="G170" i="3" s="1"/>
  <c r="G47" i="3" a="1"/>
  <c r="G47" i="3" s="1"/>
  <c r="G52" i="3" a="1"/>
  <c r="G52" i="3" s="1"/>
  <c r="G86" i="3" a="1"/>
  <c r="G86" i="3" s="1"/>
  <c r="G8" i="3" a="1"/>
  <c r="G8" i="3" s="1"/>
  <c r="G242" i="3" a="1"/>
  <c r="G242" i="3" s="1"/>
  <c r="G102" i="3" a="1"/>
  <c r="G102" i="3" s="1"/>
  <c r="G71" i="3" a="1"/>
  <c r="G71" i="3" s="1"/>
  <c r="G151" i="3" a="1"/>
  <c r="G151" i="3" s="1"/>
  <c r="G135" i="3" a="1"/>
  <c r="G135" i="3" s="1"/>
  <c r="G119" i="3" a="1"/>
  <c r="G119" i="3" s="1"/>
  <c r="G217" i="3" a="1"/>
  <c r="G217" i="3" s="1"/>
  <c r="G201" i="3" a="1"/>
  <c r="G201" i="3" s="1"/>
  <c r="G185" i="3" a="1"/>
  <c r="G185" i="3" s="1"/>
  <c r="G169" i="3" a="1"/>
  <c r="G169" i="3" s="1"/>
  <c r="G46" i="3" a="1"/>
  <c r="G46" i="3" s="1"/>
  <c r="G51" i="3" a="1"/>
  <c r="G51" i="3" s="1"/>
  <c r="G42" i="3" a="1"/>
  <c r="G42" i="3" s="1"/>
  <c r="G85" i="3" a="1"/>
  <c r="G85" i="3" s="1"/>
  <c r="G241" i="3" a="1"/>
  <c r="G241" i="3" s="1"/>
  <c r="G101" i="3" a="1"/>
  <c r="G101" i="3" s="1"/>
  <c r="G150" i="3" a="1"/>
  <c r="G150" i="3" s="1"/>
  <c r="G118" i="3" a="1"/>
  <c r="G118" i="3" s="1"/>
  <c r="G216" i="3" a="1"/>
  <c r="G216" i="3" s="1"/>
  <c r="G200" i="3" a="1"/>
  <c r="G200" i="3" s="1"/>
  <c r="G184" i="3" a="1"/>
  <c r="G184" i="3" s="1"/>
  <c r="G168" i="3" a="1"/>
  <c r="G168" i="3" s="1"/>
  <c r="G45" i="3" a="1"/>
  <c r="G45" i="3" s="1"/>
  <c r="G50" i="3" a="1"/>
  <c r="G50" i="3" s="1"/>
  <c r="G41" i="3" a="1"/>
  <c r="G41" i="3" s="1"/>
  <c r="G65" i="3" a="1"/>
  <c r="G65" i="3" s="1"/>
  <c r="G6" i="3" a="1"/>
  <c r="G6" i="3" s="1"/>
  <c r="G116" i="3" a="1"/>
  <c r="G116" i="3" s="1"/>
  <c r="G69" i="3" a="1"/>
  <c r="G69" i="3" s="1"/>
  <c r="G149" i="3" a="1"/>
  <c r="G149" i="3" s="1"/>
  <c r="G133" i="3" a="1"/>
  <c r="G133" i="3" s="1"/>
  <c r="G44" i="3" a="1"/>
  <c r="G44" i="3" s="1"/>
  <c r="G49" i="3" a="1"/>
  <c r="G49" i="3" s="1"/>
  <c r="G40" i="3" a="1"/>
  <c r="G40" i="3" s="1"/>
  <c r="G5" i="3" a="1"/>
  <c r="G5" i="3" s="1"/>
  <c r="G115" i="3" a="1"/>
  <c r="G115" i="3" s="1"/>
  <c r="G99" i="3" a="1"/>
  <c r="G99" i="3" s="1"/>
  <c r="G240" i="3" a="1"/>
  <c r="G240" i="3" s="1"/>
  <c r="G148" i="3" a="1"/>
  <c r="G148" i="3" s="1"/>
  <c r="G132" i="3" a="1"/>
  <c r="G132" i="3" s="1"/>
  <c r="G230" i="3" a="1"/>
  <c r="G230" i="3" s="1"/>
  <c r="G214" i="3" a="1"/>
  <c r="G214" i="3" s="1"/>
  <c r="G198" i="3" a="1"/>
  <c r="G198" i="3" s="1"/>
  <c r="G182" i="3" a="1"/>
  <c r="G182" i="3" s="1"/>
  <c r="G166" i="3" a="1"/>
  <c r="G166" i="3" s="1"/>
  <c r="G43" i="3" a="1"/>
  <c r="G43" i="3" s="1"/>
  <c r="G48" i="3" a="1"/>
  <c r="G48" i="3" s="1"/>
  <c r="G39" i="3" a="1"/>
  <c r="G39" i="3" s="1"/>
  <c r="G64" i="3" a="1"/>
  <c r="G64" i="3" s="1"/>
  <c r="G4" i="3" a="1"/>
  <c r="G4" i="3" s="1"/>
  <c r="L30" i="1"/>
  <c r="I35" i="1"/>
  <c r="D35" i="1"/>
  <c r="D34" i="1"/>
  <c r="D33" i="1"/>
  <c r="D32" i="1"/>
  <c r="D31" i="1"/>
  <c r="C37" i="1"/>
  <c r="H29" i="1"/>
  <c r="I29" i="1" s="1"/>
  <c r="C29" i="1"/>
  <c r="D29" i="1" s="1"/>
  <c r="H28" i="1"/>
  <c r="I28" i="1" s="1"/>
  <c r="C28" i="1"/>
  <c r="D28" i="1" s="1"/>
  <c r="H27" i="1"/>
  <c r="I27" i="1" s="1"/>
  <c r="C27" i="1"/>
  <c r="D27" i="1" s="1"/>
  <c r="H26" i="1"/>
  <c r="I26" i="1" s="1"/>
  <c r="C26" i="1"/>
  <c r="D26" i="1" s="1"/>
  <c r="H25" i="1"/>
  <c r="I25" i="1" s="1"/>
  <c r="C25" i="1"/>
  <c r="D25" i="1" s="1"/>
  <c r="H24" i="1"/>
  <c r="I24" i="1" s="1"/>
  <c r="C24" i="1"/>
  <c r="D24" i="1" s="1"/>
  <c r="H23" i="1"/>
  <c r="I23" i="1" s="1"/>
  <c r="C23" i="1"/>
  <c r="D23" i="1" s="1"/>
  <c r="H22" i="1"/>
  <c r="I22" i="1" s="1"/>
  <c r="C22" i="1"/>
  <c r="D22" i="1" s="1"/>
  <c r="H21" i="1"/>
  <c r="I21" i="1" s="1"/>
  <c r="C21" i="1"/>
  <c r="D21" i="1" s="1"/>
  <c r="H20" i="1"/>
  <c r="I20" i="1" s="1"/>
  <c r="C20" i="1"/>
  <c r="D20" i="1" s="1"/>
  <c r="H19" i="1"/>
  <c r="I19" i="1" s="1"/>
  <c r="C19" i="1"/>
  <c r="D19" i="1" s="1"/>
  <c r="H18" i="1"/>
  <c r="I18" i="1" s="1"/>
  <c r="C18" i="1"/>
  <c r="D18" i="1" s="1"/>
  <c r="H17" i="1"/>
  <c r="I17" i="1" s="1"/>
  <c r="C17" i="1"/>
  <c r="D17" i="1" s="1"/>
  <c r="H16" i="1"/>
  <c r="I16" i="1" s="1"/>
  <c r="C16" i="1"/>
  <c r="D16" i="1" s="1"/>
  <c r="H15" i="1"/>
  <c r="I15" i="1" s="1"/>
  <c r="C15" i="1"/>
  <c r="D15" i="1" s="1"/>
  <c r="H14" i="1"/>
  <c r="I14" i="1" s="1"/>
  <c r="C14" i="1"/>
  <c r="D14" i="1" s="1"/>
  <c r="H13" i="1"/>
  <c r="I13" i="1" s="1"/>
  <c r="C13" i="1"/>
  <c r="D13" i="1" s="1"/>
  <c r="H12" i="1"/>
  <c r="I12" i="1" s="1"/>
  <c r="C12" i="1"/>
  <c r="D12" i="1" s="1"/>
  <c r="H11" i="1"/>
  <c r="I11" i="1" s="1"/>
  <c r="C11" i="1"/>
  <c r="D11" i="1" s="1"/>
  <c r="H10" i="1"/>
  <c r="I10" i="1" s="1"/>
  <c r="C10" i="1"/>
  <c r="D10" i="1" s="1"/>
  <c r="H9" i="1"/>
  <c r="I9" i="1" s="1"/>
  <c r="C9" i="1"/>
  <c r="D9" i="1" s="1"/>
  <c r="H8" i="1"/>
  <c r="I8" i="1" s="1"/>
  <c r="C8" i="1"/>
  <c r="D8" i="1" s="1"/>
  <c r="H7" i="1"/>
  <c r="I7" i="1" s="1"/>
  <c r="C7" i="1"/>
  <c r="D7" i="1" s="1"/>
  <c r="N134" i="3" l="1"/>
  <c r="O111" i="3"/>
  <c r="O84" i="3"/>
  <c r="N91" i="3"/>
  <c r="O94" i="3"/>
  <c r="N179" i="3"/>
  <c r="O152" i="3"/>
  <c r="N23" i="3"/>
  <c r="O208" i="3"/>
  <c r="N208" i="3"/>
  <c r="O223" i="3"/>
  <c r="N223" i="3"/>
  <c r="O107" i="3"/>
  <c r="N107" i="3"/>
  <c r="O16" i="3"/>
  <c r="N16" i="3"/>
  <c r="N210" i="3"/>
  <c r="O210" i="3"/>
  <c r="N194" i="3"/>
  <c r="O194" i="3"/>
  <c r="O86" i="3"/>
  <c r="N86" i="3"/>
  <c r="O234" i="3"/>
  <c r="N234" i="3"/>
  <c r="O176" i="3"/>
  <c r="N176" i="3"/>
  <c r="O132" i="3"/>
  <c r="N132" i="3"/>
  <c r="C36" i="1"/>
  <c r="M36" i="1" l="1"/>
  <c r="H37" i="1" s="1"/>
  <c r="D38" i="1" s="1"/>
  <c r="B38" i="1" l="1"/>
  <c r="H38" i="1" s="1"/>
  <c r="M3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<sst xmlns="http://schemas.openxmlformats.org/spreadsheetml/2006/main" count="1540" uniqueCount="769">
  <si>
    <t xml:space="preserve"> Sell   List</t>
  </si>
  <si>
    <t xml:space="preserve">TEL:      FAX:        E:     </t>
  </si>
  <si>
    <t>Name:</t>
  </si>
  <si>
    <t>Date:</t>
  </si>
  <si>
    <t>Phone:</t>
  </si>
  <si>
    <t>Fax:</t>
  </si>
  <si>
    <t>Address:</t>
  </si>
  <si>
    <t>Product  Code</t>
  </si>
  <si>
    <t>Product</t>
  </si>
  <si>
    <t>Qty</t>
  </si>
  <si>
    <t>Price</t>
  </si>
  <si>
    <t xml:space="preserve">TOTAL </t>
  </si>
  <si>
    <t>TOTAL</t>
  </si>
  <si>
    <t>F9-W3636-门</t>
  </si>
  <si>
    <t>F8-W1236</t>
  </si>
  <si>
    <t>F8-WDC2436</t>
  </si>
  <si>
    <t>F8-W2736</t>
  </si>
  <si>
    <t>Instructions</t>
  </si>
  <si>
    <t>F8-W2436</t>
  </si>
  <si>
    <t>1. Select product from drop-down menu of column 1 and 2</t>
  </si>
  <si>
    <t>F8-WBC2736</t>
  </si>
  <si>
    <t>F8-WBL2736</t>
  </si>
  <si>
    <t>2. Enter quantity</t>
  </si>
  <si>
    <t>F8-W36.5X20X27</t>
  </si>
  <si>
    <t>3. Enter discount rate at the bottom</t>
  </si>
  <si>
    <t>F8-DB21</t>
  </si>
  <si>
    <t>4. Enter tax rate at the bottom</t>
  </si>
  <si>
    <t>F8-DB15</t>
  </si>
  <si>
    <t>*Please refer to "Price List &amp; Description" tab at bottom for details</t>
  </si>
  <si>
    <t>F8-LS3612</t>
  </si>
  <si>
    <t>F8-FB33</t>
  </si>
  <si>
    <t>F8-TK8</t>
  </si>
  <si>
    <t>F8-WF336</t>
  </si>
  <si>
    <t>Assembly Cost</t>
  </si>
  <si>
    <t>F8-Garbage Bin</t>
  </si>
  <si>
    <t>Assembly Type</t>
  </si>
  <si>
    <t>Quantity</t>
  </si>
  <si>
    <t>per unit</t>
  </si>
  <si>
    <t>Base Units</t>
  </si>
  <si>
    <t>Wall Units</t>
  </si>
  <si>
    <t>Tall Panty, Lazy Susan, Mantle and 48"-60" Vanity units</t>
  </si>
  <si>
    <t>Custom Assembly Costs:</t>
  </si>
  <si>
    <t>Delivery Costs:</t>
  </si>
  <si>
    <t>handles</t>
  </si>
  <si>
    <t>Custom items</t>
  </si>
  <si>
    <t>Total Cost:</t>
  </si>
  <si>
    <t>List Total:</t>
  </si>
  <si>
    <t>Discount Rate:</t>
  </si>
  <si>
    <t>After Disc:</t>
  </si>
  <si>
    <t>Assembly Cost:</t>
  </si>
  <si>
    <t>Subtotal:</t>
  </si>
  <si>
    <t xml:space="preserve">QST+GST (%): </t>
  </si>
  <si>
    <t>GST:</t>
  </si>
  <si>
    <t>QST:</t>
  </si>
  <si>
    <t>TOTAL GST+QST</t>
  </si>
  <si>
    <t>Total:</t>
  </si>
  <si>
    <t>型号</t>
  </si>
  <si>
    <t>零售价</t>
  </si>
  <si>
    <t>MUF9-B12</t>
  </si>
  <si>
    <t>MUF9-B15</t>
  </si>
  <si>
    <t>MUF9-B18</t>
  </si>
  <si>
    <t>MUF9-B18-PO</t>
  </si>
  <si>
    <t>MUF9-B21</t>
  </si>
  <si>
    <t>MUF9-BBC42</t>
  </si>
  <si>
    <t>MUF9-BBC45</t>
  </si>
  <si>
    <t>MUF9-BBC48</t>
  </si>
  <si>
    <t>MUF9-BMC27</t>
  </si>
  <si>
    <t>MUF9-DB12</t>
  </si>
  <si>
    <t>MUF9-DB15</t>
  </si>
  <si>
    <t>MUF9-DB18</t>
  </si>
  <si>
    <t>MUF9-DB21</t>
  </si>
  <si>
    <t>MUF9-DB24</t>
  </si>
  <si>
    <t>MUF9-DB27</t>
  </si>
  <si>
    <t>MUF9-DB30</t>
  </si>
  <si>
    <t>MUF9-DB33</t>
  </si>
  <si>
    <t>MUF9-DB36</t>
  </si>
  <si>
    <t>MUF9-DB12-2</t>
  </si>
  <si>
    <t>MUF9-DB15-2</t>
  </si>
  <si>
    <t>MUF9-DB18-2</t>
  </si>
  <si>
    <t>MUF9-DB21-2</t>
  </si>
  <si>
    <t>MUF9-DB24-2</t>
  </si>
  <si>
    <t>MUF9-DB27-2</t>
  </si>
  <si>
    <t>MUF9-DB30-2</t>
  </si>
  <si>
    <t>MUF9-DB33-2</t>
  </si>
  <si>
    <t>MUF9-DB36-2</t>
  </si>
  <si>
    <t>MUF9-FB09</t>
  </si>
  <si>
    <t>MUF9-FB12</t>
  </si>
  <si>
    <t>MUF9-FB15</t>
  </si>
  <si>
    <t>MUF9-FB18</t>
  </si>
  <si>
    <t>MUF9-FB21</t>
  </si>
  <si>
    <t>MUF9-FB24</t>
  </si>
  <si>
    <t>MUF9-FB27</t>
  </si>
  <si>
    <t>MUF9-FB30</t>
  </si>
  <si>
    <t>MUF9-FB33</t>
  </si>
  <si>
    <t>MUF9-FB36</t>
  </si>
  <si>
    <t>MUF9-FB39</t>
  </si>
  <si>
    <t>MUF9-FB42</t>
  </si>
  <si>
    <t>MUF9-FSB33*19.75(10-1/8)</t>
  </si>
  <si>
    <t>MUF9-FSB36*19.75(10-1/8)</t>
  </si>
  <si>
    <t xml:space="preserve">MUF9-IBP9636 </t>
  </si>
  <si>
    <t>MUF9-LS3309</t>
  </si>
  <si>
    <t>MUF9-LS3612</t>
  </si>
  <si>
    <t>MUF9-OCM8</t>
  </si>
  <si>
    <t>MUF9-DWR</t>
  </si>
  <si>
    <t>MUF9-SP09</t>
  </si>
  <si>
    <t>MUF9-SP12</t>
  </si>
  <si>
    <t>MUF9-TK8</t>
  </si>
  <si>
    <t>MUF9-VS2421</t>
  </si>
  <si>
    <t>MUF9-VS3021</t>
  </si>
  <si>
    <t>MUF9-VDB1221</t>
  </si>
  <si>
    <t>MUF9-VDB1521</t>
  </si>
  <si>
    <t>MUF9-VDB1821</t>
  </si>
  <si>
    <t>MUF9-W0930</t>
  </si>
  <si>
    <t>MUF9-W1230</t>
  </si>
  <si>
    <t>MUF9-W1530</t>
  </si>
  <si>
    <t>MUF9-W1830</t>
  </si>
  <si>
    <t>MUF9-W2130</t>
  </si>
  <si>
    <t>MUF9-W2430</t>
  </si>
  <si>
    <t>MUF9-W2730</t>
  </si>
  <si>
    <t>MUF9-W3018</t>
  </si>
  <si>
    <t>MUF9-W3030</t>
  </si>
  <si>
    <t>MUF9-W30X19.5</t>
  </si>
  <si>
    <t>MUF9-W33X19.5</t>
  </si>
  <si>
    <t>MUF9-W36X19.5</t>
  </si>
  <si>
    <t>MUF9-W3020</t>
  </si>
  <si>
    <t>MUF9-W3320</t>
  </si>
  <si>
    <t>MUF9-W3620</t>
  </si>
  <si>
    <t>MUF9-W3318</t>
  </si>
  <si>
    <t>MUF9-W3330</t>
  </si>
  <si>
    <t>MUF9-W3618</t>
  </si>
  <si>
    <t>MUF9-W3630</t>
  </si>
  <si>
    <t>MUF9-W3930</t>
  </si>
  <si>
    <t>MUF9-W39X20X27</t>
  </si>
  <si>
    <t>MUF9-WDC2430</t>
  </si>
  <si>
    <t>MUF9-WF330</t>
  </si>
  <si>
    <t>MUF9-WF336</t>
  </si>
  <si>
    <t>MUF9-WF342</t>
  </si>
  <si>
    <t>MUF9-WF348</t>
  </si>
  <si>
    <t>MUF9-WF396</t>
  </si>
  <si>
    <t>MUF9-WF3X120</t>
  </si>
  <si>
    <t>MUF9-WF636</t>
  </si>
  <si>
    <t>MUF9-WF696</t>
  </si>
  <si>
    <t>MUF9-WF6X120</t>
  </si>
  <si>
    <t>MUF9-WF6*126</t>
  </si>
  <si>
    <t>MUF9-WF1.596</t>
  </si>
  <si>
    <t>MUF9-WF1.5120</t>
  </si>
  <si>
    <t>MUF9-BDD12.75*36</t>
  </si>
  <si>
    <t>MUF9-BDD21.75*36</t>
  </si>
  <si>
    <t>MUF9-BDD24.75*36</t>
  </si>
  <si>
    <t>MUF9-BDD25.75*36</t>
  </si>
  <si>
    <t>MUF9-BDD37.5x36</t>
  </si>
  <si>
    <t>MUF9-BDD49.75*36</t>
  </si>
  <si>
    <t>MUF9-BDD2430</t>
  </si>
  <si>
    <t>MUF9-BDD2730</t>
  </si>
  <si>
    <t>MUF9-BDD3030</t>
  </si>
  <si>
    <t>MUF9-BDD3330</t>
  </si>
  <si>
    <t>MUF9-ROD15</t>
  </si>
  <si>
    <t>MUF9-ROD18</t>
  </si>
  <si>
    <t>MUF9-ROD21</t>
  </si>
  <si>
    <t>MUF9-ROD24</t>
  </si>
  <si>
    <t>MUF9-ROD27</t>
  </si>
  <si>
    <t>MUF9-ROD30</t>
  </si>
  <si>
    <t>MUF9-ROD33</t>
  </si>
  <si>
    <t>MUF9-ROD36</t>
  </si>
  <si>
    <t>MUF9-美式铰链</t>
  </si>
  <si>
    <t>F8-B12</t>
  </si>
  <si>
    <t>F8-B15</t>
  </si>
  <si>
    <t>F8-B18</t>
  </si>
  <si>
    <t>F8-B18-PO</t>
  </si>
  <si>
    <t>F8-B21</t>
  </si>
  <si>
    <t>F8-BBC42</t>
  </si>
  <si>
    <t>F8-BBC45</t>
  </si>
  <si>
    <t>F8-BBC48</t>
  </si>
  <si>
    <t>F8-BMC27</t>
  </si>
  <si>
    <t>F8-CM2.5X126</t>
  </si>
  <si>
    <t>F8-CM2.5X120</t>
  </si>
  <si>
    <t>F8-CM2.5X96</t>
  </si>
  <si>
    <t>F8-DB12</t>
  </si>
  <si>
    <t>F8-DB18</t>
  </si>
  <si>
    <t>F8-DB24</t>
  </si>
  <si>
    <t>F8-DB27</t>
  </si>
  <si>
    <t>F8-DB30</t>
  </si>
  <si>
    <t>F8-DB33</t>
  </si>
  <si>
    <t>F8-DB36</t>
  </si>
  <si>
    <t>F8-DB27-2</t>
  </si>
  <si>
    <t>F8-DB30-2</t>
  </si>
  <si>
    <t>F8-FB09</t>
  </si>
  <si>
    <t>F8-FB12</t>
  </si>
  <si>
    <t>F8-FB15</t>
  </si>
  <si>
    <t>F8-FB18</t>
  </si>
  <si>
    <t>F8-FB21</t>
  </si>
  <si>
    <t>F8-FB24</t>
  </si>
  <si>
    <t>F8-FB27</t>
  </si>
  <si>
    <t>F8-FB30</t>
  </si>
  <si>
    <t>F8-FB36</t>
  </si>
  <si>
    <t>F8-FB39</t>
  </si>
  <si>
    <t>F8-FB42</t>
  </si>
  <si>
    <t>F8-FSB33*19.75(10-1/8)</t>
  </si>
  <si>
    <t>F8-FSB36*19.75(10-1/8)</t>
  </si>
  <si>
    <t xml:space="preserve">F8-IBP9636 </t>
  </si>
  <si>
    <t>F8-IBP9618</t>
  </si>
  <si>
    <t>F8-LS3309</t>
  </si>
  <si>
    <t>F8-OC-DB30 DRAWER</t>
  </si>
  <si>
    <t>F8-OCM8</t>
  </si>
  <si>
    <t>F8-DWR</t>
  </si>
  <si>
    <t>F8-RRP103.527 3/4</t>
  </si>
  <si>
    <t>F8-SM1.5</t>
  </si>
  <si>
    <t>F8-SM1.5X120</t>
  </si>
  <si>
    <t>F8-BM96</t>
  </si>
  <si>
    <t>F8-BM33*6</t>
  </si>
  <si>
    <t>F8-SP06</t>
  </si>
  <si>
    <t>F8-SP09</t>
  </si>
  <si>
    <t>F8-SP12</t>
  </si>
  <si>
    <t>F8-VS2421</t>
  </si>
  <si>
    <t>F8-VS3021</t>
  </si>
  <si>
    <t>F8-VDB1221</t>
  </si>
  <si>
    <t>F8-VDB1521</t>
  </si>
  <si>
    <t>F8-VDB1821</t>
  </si>
  <si>
    <t>F8-W0930</t>
  </si>
  <si>
    <t>F8-W0936</t>
  </si>
  <si>
    <t>F8-W1230</t>
  </si>
  <si>
    <t>F8-W1248</t>
  </si>
  <si>
    <t>F8-W1530</t>
  </si>
  <si>
    <t>F8-W1536</t>
  </si>
  <si>
    <t>F8-W1548</t>
  </si>
  <si>
    <t>F8-W1830</t>
  </si>
  <si>
    <t>F8-W1836</t>
  </si>
  <si>
    <t>F8-W1848</t>
  </si>
  <si>
    <t>F8-W2130</t>
  </si>
  <si>
    <t>F8-W2136</t>
  </si>
  <si>
    <t>F8-W2148</t>
  </si>
  <si>
    <t>F8-W2430</t>
  </si>
  <si>
    <t>F8-W2448</t>
  </si>
  <si>
    <t>F8-W2730</t>
  </si>
  <si>
    <t>F8-W2748</t>
  </si>
  <si>
    <t>F8-W3012</t>
  </si>
  <si>
    <t>F8-W3015</t>
  </si>
  <si>
    <t>F8-W3018</t>
  </si>
  <si>
    <t>F8-W3021</t>
  </si>
  <si>
    <t>F8-W3024</t>
  </si>
  <si>
    <t>F8-W3027</t>
  </si>
  <si>
    <t>F8-W3030</t>
  </si>
  <si>
    <t>F8-W3036</t>
  </si>
  <si>
    <t>F8-W3042</t>
  </si>
  <si>
    <t>F8-W3048</t>
  </si>
  <si>
    <t>F8-W30X19.5</t>
  </si>
  <si>
    <t>F8-W33X19.5</t>
  </si>
  <si>
    <t>F8-W36X19.5</t>
  </si>
  <si>
    <t>F8-W42.518</t>
  </si>
  <si>
    <t>F8-W3067.518</t>
  </si>
  <si>
    <t>F8-W33.521</t>
  </si>
  <si>
    <t>F8-W3312</t>
  </si>
  <si>
    <t>F8-W3318</t>
  </si>
  <si>
    <t>F8-W3330</t>
  </si>
  <si>
    <t>F8-W3336</t>
  </si>
  <si>
    <t>F8-W3348</t>
  </si>
  <si>
    <t>F8-W33.51227</t>
  </si>
  <si>
    <t>F8-W36.51227</t>
  </si>
  <si>
    <t>F8-W33.52027</t>
  </si>
  <si>
    <t>F8-W33.5X30X27</t>
  </si>
  <si>
    <t>F8-W36.5X30X27</t>
  </si>
  <si>
    <t>F8-W36.5X31.5X27</t>
  </si>
  <si>
    <t>F8-W33.51827</t>
  </si>
  <si>
    <t>F8-W36.51827</t>
  </si>
  <si>
    <t>F8-W3612</t>
  </si>
  <si>
    <t>F8-W3618</t>
  </si>
  <si>
    <t>F8-W3624</t>
  </si>
  <si>
    <t>F8-W3630</t>
  </si>
  <si>
    <t>F8-W3636</t>
  </si>
  <si>
    <t>F8-W3642</t>
  </si>
  <si>
    <t>F8-W3648</t>
  </si>
  <si>
    <t>F8-W3930</t>
  </si>
  <si>
    <t>F8-W3936</t>
  </si>
  <si>
    <t>F8-W39X20X27</t>
  </si>
  <si>
    <t>F8-W33.52027-Frameless</t>
  </si>
  <si>
    <t>F8-W36.52027-Frameless</t>
  </si>
  <si>
    <t>F8-WBC2730</t>
  </si>
  <si>
    <t>F8-WBC2748-L</t>
  </si>
  <si>
    <t>F8-WBC3030</t>
  </si>
  <si>
    <t>F8-WBC3036</t>
  </si>
  <si>
    <t>F8-WBC3330</t>
  </si>
  <si>
    <t>F8-WBC3336</t>
  </si>
  <si>
    <t>F8-WBC3630</t>
  </si>
  <si>
    <t>F8-WBC3636</t>
  </si>
  <si>
    <t>F8-WBC2748-R</t>
  </si>
  <si>
    <t>F8-WBC3648-L</t>
  </si>
  <si>
    <t>F8-WBC3648-R</t>
  </si>
  <si>
    <t>F8-WBCT1530</t>
  </si>
  <si>
    <t>F8-WBCT1536</t>
  </si>
  <si>
    <t>F8-WBCT1830</t>
  </si>
  <si>
    <t>F8-WBCT1836</t>
  </si>
  <si>
    <t>F8-WBCT2130</t>
  </si>
  <si>
    <t>F8-WBCT2136</t>
  </si>
  <si>
    <t>F8-WBCT2148-L</t>
  </si>
  <si>
    <t>F8-WBCT2148-R</t>
  </si>
  <si>
    <t>F8-WBCT2430</t>
  </si>
  <si>
    <t>F8-WBCT2436</t>
  </si>
  <si>
    <t>F8-WBCT2448-L</t>
  </si>
  <si>
    <t>F8-WBCT2448-R</t>
  </si>
  <si>
    <t>F8-WBCT2730</t>
  </si>
  <si>
    <t>F8-WBCT3030</t>
  </si>
  <si>
    <t>F8-WBCT2736</t>
  </si>
  <si>
    <t>F8-WBCT3036</t>
  </si>
  <si>
    <t>F8-WBCT3336</t>
  </si>
  <si>
    <t>F8-WBCT3636</t>
  </si>
  <si>
    <t>F8-WBL2430</t>
  </si>
  <si>
    <t>F8-WBL2436</t>
  </si>
  <si>
    <t>F8-WBL2730</t>
  </si>
  <si>
    <t>F8-WBL2748</t>
  </si>
  <si>
    <t>F8-WDC2430</t>
  </si>
  <si>
    <t>F8-WDC2448</t>
  </si>
  <si>
    <t>F8-WF330</t>
  </si>
  <si>
    <t>F8-WF342</t>
  </si>
  <si>
    <t>F8-WF348</t>
  </si>
  <si>
    <t>F8-WF396</t>
  </si>
  <si>
    <t>F8-WF3X120</t>
  </si>
  <si>
    <t>F8-WF636</t>
  </si>
  <si>
    <t>F8-WF696</t>
  </si>
  <si>
    <t>F8-WF6X120</t>
  </si>
  <si>
    <t>F8-WF6*126</t>
  </si>
  <si>
    <t>F8-WF1.596</t>
  </si>
  <si>
    <t>F8-WF1.5120</t>
  </si>
  <si>
    <t>F8-WP129327</t>
  </si>
  <si>
    <t>F8-WP159327</t>
  </si>
  <si>
    <t>F8-WP188427</t>
  </si>
  <si>
    <t>F8-WP189027</t>
  </si>
  <si>
    <t>F8-WP18X91.527</t>
  </si>
  <si>
    <t>F8-WP189327</t>
  </si>
  <si>
    <t>F8-WP248427</t>
  </si>
  <si>
    <t>F8-WP249027</t>
  </si>
  <si>
    <t>F8-WP2491.5X27</t>
  </si>
  <si>
    <t>F8-WP249327</t>
  </si>
  <si>
    <t>F8-WP249627</t>
  </si>
  <si>
    <t>F8-WP2791.5X27</t>
  </si>
  <si>
    <t>F8-WP279327</t>
  </si>
  <si>
    <t>F8-WP279627</t>
  </si>
  <si>
    <t>F8-WP308427</t>
  </si>
  <si>
    <t>F8-WP309027</t>
  </si>
  <si>
    <t>F8-WP309327</t>
  </si>
  <si>
    <t>F8-WP309627</t>
  </si>
  <si>
    <t>F8-WP30X91.5X27-DOORS</t>
  </si>
  <si>
    <t>F8-WP24X103.5</t>
  </si>
  <si>
    <t>F8-WP30X103.5</t>
  </si>
  <si>
    <t>F8-OC33X103.5</t>
  </si>
  <si>
    <t>F8-BDD12.75*36</t>
  </si>
  <si>
    <t>F8-BDD21.75*36</t>
  </si>
  <si>
    <t>F8-BDD24.75*36</t>
  </si>
  <si>
    <t>F8-BDD25.75*36</t>
  </si>
  <si>
    <t>F8-BDD37.5x36</t>
  </si>
  <si>
    <t>F8-BDD49.75*36</t>
  </si>
  <si>
    <t>F8-BDD2430</t>
  </si>
  <si>
    <t>F8-BDD2730</t>
  </si>
  <si>
    <t>F8-BDD3030</t>
  </si>
  <si>
    <t>F8-BDD3330</t>
  </si>
  <si>
    <t>F8-ROD15</t>
  </si>
  <si>
    <t>F8-ROD18</t>
  </si>
  <si>
    <t>F8-ROD21</t>
  </si>
  <si>
    <t>F8-ROD24</t>
  </si>
  <si>
    <t>F8-ROD27</t>
  </si>
  <si>
    <t>F8-ROD30</t>
  </si>
  <si>
    <t>F8-ROD33</t>
  </si>
  <si>
    <t>F8-ROD36</t>
  </si>
  <si>
    <t>F8-WEP1336</t>
  </si>
  <si>
    <t>F8-WEP1330</t>
  </si>
  <si>
    <t>F8-WEP1348</t>
  </si>
  <si>
    <t>F8-RRP9627 7/8</t>
  </si>
  <si>
    <t>F8-ISP25.75X36</t>
  </si>
  <si>
    <t>F8-ISP37.75X36</t>
  </si>
  <si>
    <t>F8-WDD12.75*36</t>
  </si>
  <si>
    <t>F8-WDD12.75*48</t>
  </si>
  <si>
    <t>F8-WPDD13.75*49.5</t>
  </si>
  <si>
    <t>F8-WPDD13.75*39</t>
  </si>
  <si>
    <t>F8-WPDD13.75*37.5</t>
  </si>
  <si>
    <t>F8-W0936-门</t>
  </si>
  <si>
    <t>F8-W1236-门</t>
  </si>
  <si>
    <t>F8-W1536-门</t>
  </si>
  <si>
    <t>F8-W1836-门</t>
  </si>
  <si>
    <t>F8-W2136-门</t>
  </si>
  <si>
    <t>F8-W2436-门</t>
  </si>
  <si>
    <t>F8-W2736-门</t>
  </si>
  <si>
    <t>F8-W3036-门</t>
  </si>
  <si>
    <t>F8-W3336-门</t>
  </si>
  <si>
    <t>F8-W3636-门</t>
  </si>
  <si>
    <t>F8-WDC2436-门</t>
  </si>
  <si>
    <t>F8-WBC2736-门</t>
  </si>
  <si>
    <t>F8-WBCT2136-门</t>
  </si>
  <si>
    <t>F8-WBCT2436-门</t>
  </si>
  <si>
    <t>F8-美式铰链</t>
  </si>
  <si>
    <t>F9-B12</t>
  </si>
  <si>
    <t>F9-B15</t>
  </si>
  <si>
    <t>F9-B18</t>
  </si>
  <si>
    <t>F9-B18-PO</t>
  </si>
  <si>
    <t>F9-B21</t>
  </si>
  <si>
    <t>F9-BBC42</t>
  </si>
  <si>
    <t>F9-BBC45</t>
  </si>
  <si>
    <t>F9-BBC48</t>
  </si>
  <si>
    <t>F9-BMC27</t>
  </si>
  <si>
    <t>F9-CM2.5X126</t>
  </si>
  <si>
    <t>F9-CM2.5X120</t>
  </si>
  <si>
    <t>F9-CM2.5X96</t>
  </si>
  <si>
    <t>F9-DB12</t>
  </si>
  <si>
    <t>F9-DB15</t>
  </si>
  <si>
    <t>F9-DB18</t>
  </si>
  <si>
    <t>F9-DB21</t>
  </si>
  <si>
    <t>F9-DB24</t>
  </si>
  <si>
    <t>F9-DB27</t>
  </si>
  <si>
    <t>F9-DB30</t>
  </si>
  <si>
    <t>F9-DB33</t>
  </si>
  <si>
    <t>F9-DB36</t>
  </si>
  <si>
    <t>F9-DB27-2</t>
  </si>
  <si>
    <t>F9-DB30-2</t>
  </si>
  <si>
    <t>F9-FB09</t>
  </si>
  <si>
    <t>F9-FB12</t>
  </si>
  <si>
    <t>F9-FB15</t>
  </si>
  <si>
    <t>F9-FB18</t>
  </si>
  <si>
    <t>F9-FB21</t>
  </si>
  <si>
    <t>F9-FB24</t>
  </si>
  <si>
    <t>F9-FB27</t>
  </si>
  <si>
    <t>F9-FB30</t>
  </si>
  <si>
    <t>F9-FB33</t>
  </si>
  <si>
    <t>F9-FB36</t>
  </si>
  <si>
    <t>F9-FB39</t>
  </si>
  <si>
    <t>F9-FB42</t>
  </si>
  <si>
    <t>F9-FSB33*19.75(10-1/8)</t>
  </si>
  <si>
    <t>F9-FSB36*19.75(10-1/8)</t>
  </si>
  <si>
    <t xml:space="preserve">F9-IBP9636 </t>
  </si>
  <si>
    <t>F9-IBP9618</t>
  </si>
  <si>
    <t>F9-LS3309</t>
  </si>
  <si>
    <t>F9-LS3612</t>
  </si>
  <si>
    <t>F9-OC-DB30 DRAWER</t>
  </si>
  <si>
    <t>F9-OCM8</t>
  </si>
  <si>
    <t>F9-DWR</t>
  </si>
  <si>
    <t>F9-RRP103.527 3/4</t>
  </si>
  <si>
    <t>F9-SM1.5</t>
  </si>
  <si>
    <t>F9-SM1.5X120</t>
  </si>
  <si>
    <t>F9-BM96</t>
  </si>
  <si>
    <t>F9-BM33*6</t>
  </si>
  <si>
    <t>F9-SP06</t>
  </si>
  <si>
    <t>F9-SP09</t>
  </si>
  <si>
    <t>F9-SP12</t>
  </si>
  <si>
    <t>F9-TK8</t>
  </si>
  <si>
    <t>F9-VS2421</t>
  </si>
  <si>
    <t>F9-VS3021</t>
  </si>
  <si>
    <t>F9-VDB1221</t>
  </si>
  <si>
    <t>F9-VDB1521</t>
  </si>
  <si>
    <t>F9-VDB1821</t>
  </si>
  <si>
    <t>F9-W0930</t>
  </si>
  <si>
    <t>F9-W0936</t>
  </si>
  <si>
    <t>F9-W1230</t>
  </si>
  <si>
    <t>F9-W1236</t>
  </si>
  <si>
    <t>F9-W1248</t>
  </si>
  <si>
    <t>F9-W1530</t>
  </si>
  <si>
    <t>F9-W1536</t>
  </si>
  <si>
    <t>F9-W1548</t>
  </si>
  <si>
    <t>F9-W1830</t>
  </si>
  <si>
    <t>F9-W1836</t>
  </si>
  <si>
    <t>F9-W1848</t>
  </si>
  <si>
    <t>F9-W2130</t>
  </si>
  <si>
    <t>F9-W2136</t>
  </si>
  <si>
    <t>F9-W2148</t>
  </si>
  <si>
    <t>F9-W2430</t>
  </si>
  <si>
    <t>F9-W2436</t>
  </si>
  <si>
    <t>F9-W2448</t>
  </si>
  <si>
    <t>F9-W2730</t>
  </si>
  <si>
    <t>F9-W2736</t>
  </si>
  <si>
    <t>F9-W2748</t>
  </si>
  <si>
    <t>F9-W3012</t>
  </si>
  <si>
    <t>F9-W3015</t>
  </si>
  <si>
    <t>F9-W3018</t>
  </si>
  <si>
    <t>F9-W3021</t>
  </si>
  <si>
    <t>F9-W3024</t>
  </si>
  <si>
    <t>F9-W3027</t>
  </si>
  <si>
    <t>F9-W3030</t>
  </si>
  <si>
    <t>F9-W3036</t>
  </si>
  <si>
    <t>F9-W3042</t>
  </si>
  <si>
    <t>F9-W3048</t>
  </si>
  <si>
    <t>F9-W30X19.5</t>
  </si>
  <si>
    <t>F9-W33X19.5</t>
  </si>
  <si>
    <t>F9-W36X19.5</t>
  </si>
  <si>
    <t>F9-W3020</t>
  </si>
  <si>
    <t>F9-W3320</t>
  </si>
  <si>
    <t>F9-W3620</t>
  </si>
  <si>
    <t>F9-W42.518</t>
  </si>
  <si>
    <t>F9-W3067.518</t>
  </si>
  <si>
    <t>F9-W33.521</t>
  </si>
  <si>
    <t>F9-W3312</t>
  </si>
  <si>
    <t>F9-W3318</t>
  </si>
  <si>
    <t>F9-W3330</t>
  </si>
  <si>
    <t>F9-W3336</t>
  </si>
  <si>
    <t>F9-W3348</t>
  </si>
  <si>
    <t>F9-W33.51227</t>
  </si>
  <si>
    <t>F9-W36.51227</t>
  </si>
  <si>
    <t>F9-W33.52027</t>
  </si>
  <si>
    <t>F9-W36.5X20X27</t>
  </si>
  <si>
    <t>F9-W33.5X30X27</t>
  </si>
  <si>
    <t>F9-W36.5X30X27</t>
  </si>
  <si>
    <t>F9-W36.5X31.5X27</t>
  </si>
  <si>
    <t>F9-W33.51827</t>
  </si>
  <si>
    <t>F9-W36.51827</t>
  </si>
  <si>
    <t>F9-W3612</t>
  </si>
  <si>
    <t>F9-W3618</t>
  </si>
  <si>
    <t>F9-W3624</t>
  </si>
  <si>
    <t>F9-W3630</t>
  </si>
  <si>
    <t>F9-W3636</t>
  </si>
  <si>
    <t>F9-W3642</t>
  </si>
  <si>
    <t>F9-W3648</t>
  </si>
  <si>
    <t>F9-W3930</t>
  </si>
  <si>
    <t>F9-W3936</t>
  </si>
  <si>
    <t>F9-W39X20X27</t>
  </si>
  <si>
    <t>F9-W33.52027-Frameless</t>
  </si>
  <si>
    <t>F9-W36.52027-Frameless</t>
  </si>
  <si>
    <t>F9-WBC2730</t>
  </si>
  <si>
    <t>F9-WBC2736</t>
  </si>
  <si>
    <t>F9-WBC2748-L</t>
  </si>
  <si>
    <t>F9-WBC3030</t>
  </si>
  <si>
    <t>F9-WBC3036</t>
  </si>
  <si>
    <t>F9-WBC3330</t>
  </si>
  <si>
    <t>F9-WBC3336</t>
  </si>
  <si>
    <t>F9-WBC3630</t>
  </si>
  <si>
    <t>F9-WBC3636</t>
  </si>
  <si>
    <t>F9-WBC2748-R</t>
  </si>
  <si>
    <t>F9-WBC3648-L</t>
  </si>
  <si>
    <t>F9-WBC3648-R</t>
  </si>
  <si>
    <t>F9-WBCT1530</t>
  </si>
  <si>
    <t>F9-WBCT1536</t>
  </si>
  <si>
    <t>F9-WBCT1830</t>
  </si>
  <si>
    <t>F9-WBCT1836</t>
  </si>
  <si>
    <t>F9-WBCT2130</t>
  </si>
  <si>
    <t>F9-WBCT2136</t>
  </si>
  <si>
    <t>F9-WBCT2148-L</t>
  </si>
  <si>
    <t>F9-WBCT2148-R</t>
  </si>
  <si>
    <t>F9-WBCT2430</t>
  </si>
  <si>
    <t>F9-WBCT2436</t>
  </si>
  <si>
    <t>F9-WBCT2448-L</t>
  </si>
  <si>
    <t>F9-WBCT2448-R</t>
  </si>
  <si>
    <t>F9-WBCT2730</t>
  </si>
  <si>
    <t>F9-WBCT3030</t>
  </si>
  <si>
    <t>F9-WBCT2736</t>
  </si>
  <si>
    <t>F9-WBCT3036</t>
  </si>
  <si>
    <t>F9-WBCT3336</t>
  </si>
  <si>
    <t>F9-WBCT3636</t>
  </si>
  <si>
    <t>F9-WBL2430</t>
  </si>
  <si>
    <t>F9-WBL2436</t>
  </si>
  <si>
    <t>F9-WBL2730</t>
  </si>
  <si>
    <t>F9-WBL2736</t>
  </si>
  <si>
    <t>F9-WBL2748</t>
  </si>
  <si>
    <t>F9-WDC2430</t>
  </si>
  <si>
    <t>F9-WDC2436</t>
  </si>
  <si>
    <t>F9-WDC2448</t>
  </si>
  <si>
    <t>F9-WF330</t>
  </si>
  <si>
    <t>F9-WF336</t>
  </si>
  <si>
    <t>F9-WF342</t>
  </si>
  <si>
    <t>F9-WF348</t>
  </si>
  <si>
    <t>F9-WF396</t>
  </si>
  <si>
    <t>F9-WF3X120</t>
  </si>
  <si>
    <t>F9-WF636</t>
  </si>
  <si>
    <t>F9-WF696</t>
  </si>
  <si>
    <t>F9-WF6X120</t>
  </si>
  <si>
    <t>F9-WF6*126</t>
  </si>
  <si>
    <t>F9-WF1.596</t>
  </si>
  <si>
    <t>F9-WF1.5120</t>
  </si>
  <si>
    <t>F9-WP129327</t>
  </si>
  <si>
    <t>F9-WP159327</t>
  </si>
  <si>
    <t>F9-WP188427</t>
  </si>
  <si>
    <t>F9-WP189027</t>
  </si>
  <si>
    <t>F9-WP18X91.527</t>
  </si>
  <si>
    <t>F9-WP189327</t>
  </si>
  <si>
    <t>F9-WP248427</t>
  </si>
  <si>
    <t>F9-WP249027</t>
  </si>
  <si>
    <t>F9-WP2491.5X27</t>
  </si>
  <si>
    <t>F9-WP249327</t>
  </si>
  <si>
    <t>F9-WP249627</t>
  </si>
  <si>
    <t>F9-WP2791.5X27</t>
  </si>
  <si>
    <t>F9-WP279327</t>
  </si>
  <si>
    <t>F9-WP279627</t>
  </si>
  <si>
    <t>F9-WP308427</t>
  </si>
  <si>
    <t>F9-WP309027</t>
  </si>
  <si>
    <t>F9-WP309327</t>
  </si>
  <si>
    <t>F9-WP309627</t>
  </si>
  <si>
    <t>F9-WP30X91.5X27-DOORS</t>
  </si>
  <si>
    <t>F9-WP24X103.5</t>
  </si>
  <si>
    <t>F9-WP30X103.5</t>
  </si>
  <si>
    <t>F9-OC33X103.5</t>
  </si>
  <si>
    <t>F9-BDD12.75*36</t>
  </si>
  <si>
    <t>F9-BDD21.75*36</t>
  </si>
  <si>
    <t>F9-BDD24.75*36</t>
  </si>
  <si>
    <t>F9-BDD25.75*36</t>
  </si>
  <si>
    <t>F9-BDD37.5x36</t>
  </si>
  <si>
    <t>F9-BDD49.75*36</t>
  </si>
  <si>
    <t>F9-BDD2430</t>
  </si>
  <si>
    <t>F9-BDD2730</t>
  </si>
  <si>
    <t>F9-BDD3030</t>
  </si>
  <si>
    <t>F9-BDD3330</t>
  </si>
  <si>
    <t>F9-ROD15</t>
  </si>
  <si>
    <t>F9-ROD18</t>
  </si>
  <si>
    <t>F9-ROD21</t>
  </si>
  <si>
    <t>F9-ROD24</t>
  </si>
  <si>
    <t>F9-ROD27</t>
  </si>
  <si>
    <t>F9-ROD30</t>
  </si>
  <si>
    <t>F9-ROD33</t>
  </si>
  <si>
    <t>F9-ROD36</t>
  </si>
  <si>
    <t>F9-WEP1336</t>
  </si>
  <si>
    <t>F9-WEP1330</t>
  </si>
  <si>
    <t>F9-WEP1348</t>
  </si>
  <si>
    <t>F9-RRP9627 7/8</t>
  </si>
  <si>
    <t>F9-ISP25.75X36</t>
  </si>
  <si>
    <t>F9-ISP37.75X36</t>
  </si>
  <si>
    <t>F9-WDD12.75*36</t>
  </si>
  <si>
    <t>F9-WDD12.75*48</t>
  </si>
  <si>
    <t>F9-WPDD13.75*49.5</t>
  </si>
  <si>
    <t>F9-WPDD13.75*39</t>
  </si>
  <si>
    <t>F9-WPDD13.75*37.5</t>
  </si>
  <si>
    <t>F9-W0936-门</t>
  </si>
  <si>
    <t>F9-W1236-门</t>
  </si>
  <si>
    <t>F9-W1536-门</t>
  </si>
  <si>
    <t>F9-W1836-门</t>
  </si>
  <si>
    <t>F9-W2136-门</t>
  </si>
  <si>
    <t>F9-W2436-门</t>
  </si>
  <si>
    <t>F9-W2736-门</t>
  </si>
  <si>
    <t>F9-W3036-门</t>
  </si>
  <si>
    <t>F9-W3336-门</t>
  </si>
  <si>
    <t>F9-WDC2436-门</t>
  </si>
  <si>
    <t>F9-WBC2736-门</t>
  </si>
  <si>
    <t>F9-WBCT2136-门</t>
  </si>
  <si>
    <t>F9-WBCT2436-门</t>
  </si>
  <si>
    <t>F9-美式铰链</t>
  </si>
  <si>
    <t>MUF9-Garbage Bin</t>
  </si>
  <si>
    <t>F9-Garbage Bin</t>
  </si>
  <si>
    <t>F9-W4236</t>
  </si>
  <si>
    <t>Code</t>
  </si>
  <si>
    <t>B</t>
  </si>
  <si>
    <t>Base Cabinet</t>
  </si>
  <si>
    <t>DB</t>
  </si>
  <si>
    <t>DB-2</t>
  </si>
  <si>
    <t>W</t>
  </si>
  <si>
    <t>Wall Cabinet</t>
  </si>
  <si>
    <t>WF</t>
  </si>
  <si>
    <t>WP</t>
  </si>
  <si>
    <t>BBC</t>
  </si>
  <si>
    <t>WBC</t>
  </si>
  <si>
    <t>Wall Blind Corner</t>
  </si>
  <si>
    <t>LS</t>
  </si>
  <si>
    <t>SB</t>
  </si>
  <si>
    <t>SP</t>
  </si>
  <si>
    <t>BEC</t>
  </si>
  <si>
    <t>Base End Corner</t>
  </si>
  <si>
    <t>BES</t>
  </si>
  <si>
    <t>Base End Shelf</t>
  </si>
  <si>
    <t>CSB</t>
  </si>
  <si>
    <t>Corner Sink Base</t>
  </si>
  <si>
    <t>CBD</t>
  </si>
  <si>
    <t>WM</t>
  </si>
  <si>
    <t>TK</t>
  </si>
  <si>
    <t>Toe Kick</t>
  </si>
  <si>
    <t>FB</t>
  </si>
  <si>
    <t>FSB</t>
  </si>
  <si>
    <t>ROD</t>
  </si>
  <si>
    <t>DBP</t>
  </si>
  <si>
    <t>ISP</t>
  </si>
  <si>
    <t>Island Skin Panel probablement</t>
  </si>
  <si>
    <t>Garbage Bin</t>
  </si>
  <si>
    <t>PO</t>
  </si>
  <si>
    <t>Pull-Out accessory</t>
  </si>
  <si>
    <t>D</t>
  </si>
  <si>
    <t>F</t>
  </si>
  <si>
    <t>Door Front replacement part</t>
  </si>
  <si>
    <t>BMC</t>
  </si>
  <si>
    <t>Base Microwave Cabinet</t>
  </si>
  <si>
    <t>CM</t>
  </si>
  <si>
    <t>Product Type</t>
  </si>
  <si>
    <t>SM</t>
  </si>
  <si>
    <t>BM</t>
  </si>
  <si>
    <t>RRP</t>
  </si>
  <si>
    <t>Refrigerator Return Panel</t>
  </si>
  <si>
    <t>OCM</t>
  </si>
  <si>
    <t>Outside Corner Molding</t>
  </si>
  <si>
    <t>IBP</t>
  </si>
  <si>
    <t>Island Back Panel</t>
  </si>
  <si>
    <t>VDB</t>
  </si>
  <si>
    <t>VS</t>
  </si>
  <si>
    <t>BDD</t>
  </si>
  <si>
    <t>WDD</t>
  </si>
  <si>
    <t>Wall Dummy Door</t>
  </si>
  <si>
    <t>WPDD</t>
  </si>
  <si>
    <t>Wall/Pantry Dummy Door</t>
  </si>
  <si>
    <t>OC</t>
  </si>
  <si>
    <t>DWR</t>
  </si>
  <si>
    <t>WBCT</t>
  </si>
  <si>
    <t>Wall Blind Corner Tall</t>
  </si>
  <si>
    <t>WBL</t>
  </si>
  <si>
    <t>Wall Blind Left</t>
  </si>
  <si>
    <t>WDC</t>
  </si>
  <si>
    <t>WEP</t>
  </si>
  <si>
    <t>Wall End Panel</t>
  </si>
  <si>
    <t>美式铰链</t>
  </si>
  <si>
    <t>American Style Hinge</t>
  </si>
  <si>
    <t>Product Code Yihai</t>
  </si>
  <si>
    <t>Base molding</t>
  </si>
  <si>
    <t>Standard</t>
  </si>
  <si>
    <t>Blind Corner</t>
  </si>
  <si>
    <t>Drawer</t>
  </si>
  <si>
    <t>Door</t>
  </si>
  <si>
    <t>Sink</t>
  </si>
  <si>
    <t>Drawer (2 drawers)</t>
  </si>
  <si>
    <t>Corner (45deg)</t>
  </si>
  <si>
    <t>Product Sub-type</t>
  </si>
  <si>
    <t>Base End</t>
  </si>
  <si>
    <t>F9-W0936-Door</t>
  </si>
  <si>
    <t>F9-W1236-Door</t>
  </si>
  <si>
    <t>F9-W1536-Door</t>
  </si>
  <si>
    <t>F9-W1836-Door</t>
  </si>
  <si>
    <t>F9-W2136-Door</t>
  </si>
  <si>
    <t>F9-W2436-Door</t>
  </si>
  <si>
    <t>F9-W2736-Door</t>
  </si>
  <si>
    <t>F9-W3036-Door</t>
  </si>
  <si>
    <t>F9-W3336-Door</t>
  </si>
  <si>
    <t>F9-W3636-Door</t>
  </si>
  <si>
    <t>F9-WBC2736-Door</t>
  </si>
  <si>
    <t>F9-WBCT2136-Door</t>
  </si>
  <si>
    <t>F9-WBCT2436-Door</t>
  </si>
  <si>
    <t>F9-WDC2436-Door</t>
  </si>
  <si>
    <t>Drawer (3 drawers)</t>
  </si>
  <si>
    <t>Question</t>
  </si>
  <si>
    <t>Corner (90deg)</t>
  </si>
  <si>
    <t>Farmhouse Sink</t>
  </si>
  <si>
    <t>Does it contains a lady susan ?</t>
  </si>
  <si>
    <t>Does it contains Tilt-Out Drawer With Tray?</t>
  </si>
  <si>
    <t>Does it contains 3 shelves ?</t>
  </si>
  <si>
    <t>Accessories</t>
  </si>
  <si>
    <t>Plastic Garbage Bin</t>
  </si>
  <si>
    <t>Standard (w/ Glass Door)</t>
  </si>
  <si>
    <t>Utility Cabinet</t>
  </si>
  <si>
    <t>Pantry</t>
  </si>
  <si>
    <t>Oven</t>
  </si>
  <si>
    <t>Dishwasher Return Panel</t>
  </si>
  <si>
    <t>Scribe molding</t>
  </si>
  <si>
    <t>7 gallon ?</t>
  </si>
  <si>
    <t>Dummy Door</t>
  </si>
  <si>
    <t>Panel</t>
  </si>
  <si>
    <t>Width</t>
  </si>
  <si>
    <t>Height</t>
  </si>
  <si>
    <t>Depth</t>
  </si>
  <si>
    <t xml:space="preserve">Spice Rack - Pull-Out </t>
  </si>
  <si>
    <t>N/A</t>
  </si>
  <si>
    <t>Complete Cabinet</t>
  </si>
  <si>
    <t>Part Type</t>
  </si>
  <si>
    <t>Door Only</t>
  </si>
  <si>
    <t>Cabinet</t>
  </si>
  <si>
    <t>cote dessous tiroir</t>
  </si>
  <si>
    <t>muf9</t>
  </si>
  <si>
    <t>1pouce shaker</t>
  </si>
  <si>
    <t>f8</t>
  </si>
  <si>
    <t>Drawer Base Panel ?</t>
  </si>
  <si>
    <t>Drawer Front replacement part?</t>
  </si>
  <si>
    <t>Moldings</t>
  </si>
  <si>
    <t>Fillers</t>
  </si>
  <si>
    <t>Filler , mais quel type?</t>
  </si>
  <si>
    <t>Suis-je certain</t>
  </si>
  <si>
    <t>x</t>
  </si>
  <si>
    <t>Complete Cabinet, for garbage bin</t>
  </si>
  <si>
    <t>-</t>
  </si>
  <si>
    <t>Certain? Catégorie</t>
  </si>
  <si>
    <t>Certain Item</t>
  </si>
  <si>
    <t>Base/Wall/Tall Filler</t>
  </si>
  <si>
    <t>Bathroom - Base Cabinet</t>
  </si>
  <si>
    <t>utilisé dans la soumission powder room</t>
  </si>
  <si>
    <t>Price Yihai</t>
  </si>
  <si>
    <t>Price Dilamco - Standard</t>
  </si>
  <si>
    <t>Price Dilamco - Chene Blanc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</si>
</sst>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;\-&quot;$&quot;#,##0.00"/>
    <numFmt numFmtId="164" formatCode="_ &quot;￥&quot;* #,##0.00_ ;_ &quot;￥&quot;* \-#,##0.00_ ;_ &quot;￥&quot;* &quot;-&quot;??_ ;_ @_ "/>
    <numFmt numFmtId="165" formatCode="&quot;$&quot;#,##0"/>
    <numFmt numFmtId="166" formatCode="&quot;$&quot;#,##0.00"/>
    <numFmt numFmtId="167" formatCode="0.000%"/>
    <numFmt numFmtId="168" formatCode="_-[$$-1009]* #,##0.00_-;\-[$$-1009]* #,##0.00_-;_-[$$-1009]* &quot;-&quot;??_-;_-@_-"/>
  </numFmts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Times New Roman"/>
      <family val="1"/>
    </font>
    <font>
      <b/>
      <sz val="11"/>
      <name val="Times New Roman"/>
      <family val="1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06918546098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>
      <alignment vertical="center"/>
    </xf>
    <xf numFmtId="16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6" fillId="8" borderId="23" applyNumberFormat="0" applyAlignment="0" applyProtection="0"/>
  </cellStyleXfs>
  <cellXfs count="14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7" fontId="0" fillId="0" borderId="1" xfId="0" applyNumberFormat="1" applyBorder="1" applyAlignment="1">
      <alignment horizontal="left"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4" fillId="2" borderId="2" xfId="0" applyFont="1" applyFill="1" applyBorder="1" applyAlignment="1"/>
    <xf numFmtId="0" fontId="4" fillId="2" borderId="3" xfId="0" applyFont="1" applyFill="1" applyBorder="1" applyAlignment="1"/>
    <xf numFmtId="0" fontId="4" fillId="2" borderId="14" xfId="0" applyFont="1" applyFill="1" applyBorder="1" applyAlignment="1">
      <alignment horizontal="center"/>
    </xf>
    <xf numFmtId="0" fontId="0" fillId="0" borderId="4" xfId="0" applyBorder="1" applyAlignment="1" applyProtection="1">
      <protection locked="0"/>
    </xf>
    <xf numFmtId="0" fontId="0" fillId="0" borderId="5" xfId="0" applyBorder="1" applyAlignment="1" applyProtection="1">
      <protection locked="0"/>
    </xf>
    <xf numFmtId="165" fontId="0" fillId="0" borderId="5" xfId="0" applyNumberFormat="1" applyBorder="1" applyAlignment="1" applyProtection="1">
      <protection hidden="1"/>
    </xf>
    <xf numFmtId="165" fontId="0" fillId="0" borderId="15" xfId="0" applyNumberFormat="1" applyBorder="1" applyAlignment="1" applyProtection="1">
      <alignment horizontal="center"/>
      <protection hidden="1"/>
    </xf>
    <xf numFmtId="0" fontId="4" fillId="2" borderId="5" xfId="0" applyFont="1" applyFill="1" applyBorder="1" applyAlignment="1"/>
    <xf numFmtId="0" fontId="4" fillId="2" borderId="15" xfId="0" applyFont="1" applyFill="1" applyBorder="1" applyAlignment="1">
      <alignment horizontal="center"/>
    </xf>
    <xf numFmtId="0" fontId="0" fillId="0" borderId="6" xfId="0" applyBorder="1" applyAlignment="1" applyProtection="1">
      <protection locked="0"/>
    </xf>
    <xf numFmtId="0" fontId="0" fillId="0" borderId="7" xfId="0" applyBorder="1" applyAlignment="1" applyProtection="1">
      <protection locked="0"/>
    </xf>
    <xf numFmtId="165" fontId="0" fillId="0" borderId="7" xfId="0" applyNumberFormat="1" applyBorder="1" applyAlignment="1" applyProtection="1">
      <protection hidden="1"/>
    </xf>
    <xf numFmtId="165" fontId="0" fillId="0" borderId="16" xfId="0" applyNumberFormat="1" applyBorder="1" applyAlignment="1" applyProtection="1">
      <alignment horizontal="center"/>
      <protection hidden="1"/>
    </xf>
    <xf numFmtId="0" fontId="0" fillId="0" borderId="3" xfId="0" applyBorder="1" applyAlignment="1"/>
    <xf numFmtId="166" fontId="0" fillId="0" borderId="3" xfId="0" applyNumberFormat="1" applyBorder="1" applyAlignment="1"/>
    <xf numFmtId="0" fontId="0" fillId="0" borderId="14" xfId="0" applyBorder="1" applyAlignment="1"/>
    <xf numFmtId="9" fontId="0" fillId="0" borderId="3" xfId="0" applyNumberFormat="1" applyBorder="1" applyAlignment="1" applyProtection="1">
      <protection locked="0"/>
    </xf>
    <xf numFmtId="0" fontId="4" fillId="2" borderId="4" xfId="0" applyFont="1" applyFill="1" applyBorder="1" applyAlignment="1"/>
    <xf numFmtId="0" fontId="0" fillId="0" borderId="5" xfId="0" applyBorder="1" applyAlignment="1"/>
    <xf numFmtId="166" fontId="0" fillId="0" borderId="5" xfId="0" applyNumberFormat="1" applyBorder="1" applyAlignment="1"/>
    <xf numFmtId="0" fontId="0" fillId="0" borderId="15" xfId="0" applyBorder="1" applyAlignment="1"/>
    <xf numFmtId="0" fontId="4" fillId="3" borderId="4" xfId="0" applyFont="1" applyFill="1" applyBorder="1" applyAlignment="1"/>
    <xf numFmtId="0" fontId="4" fillId="2" borderId="17" xfId="0" applyFont="1" applyFill="1" applyBorder="1" applyAlignment="1"/>
    <xf numFmtId="7" fontId="0" fillId="0" borderId="13" xfId="0" applyNumberFormat="1" applyBorder="1" applyAlignment="1"/>
    <xf numFmtId="0" fontId="0" fillId="4" borderId="13" xfId="0" applyFill="1" applyBorder="1" applyAlignment="1"/>
    <xf numFmtId="166" fontId="0" fillId="0" borderId="18" xfId="0" applyNumberFormat="1" applyBorder="1" applyAlignment="1"/>
    <xf numFmtId="0" fontId="0" fillId="3" borderId="17" xfId="0" applyFill="1" applyBorder="1" applyAlignment="1"/>
    <xf numFmtId="0" fontId="0" fillId="0" borderId="13" xfId="0" applyBorder="1" applyAlignment="1"/>
    <xf numFmtId="0" fontId="0" fillId="0" borderId="13" xfId="0" applyBorder="1" applyAlignment="1">
      <alignment horizontal="left"/>
    </xf>
    <xf numFmtId="0" fontId="4" fillId="2" borderId="14" xfId="0" applyFont="1" applyFill="1" applyBorder="1" applyAlignment="1"/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0" borderId="0" xfId="0" applyFont="1" applyAlignment="1"/>
    <xf numFmtId="0" fontId="0" fillId="0" borderId="4" xfId="0" applyBorder="1" applyAlignment="1"/>
    <xf numFmtId="0" fontId="9" fillId="0" borderId="4" xfId="0" applyFont="1" applyBorder="1" applyAlignment="1"/>
    <xf numFmtId="0" fontId="10" fillId="2" borderId="4" xfId="0" applyFont="1" applyFill="1" applyBorder="1" applyAlignment="1"/>
    <xf numFmtId="0" fontId="10" fillId="2" borderId="5" xfId="0" applyFont="1" applyFill="1" applyBorder="1" applyAlignment="1"/>
    <xf numFmtId="0" fontId="4" fillId="2" borderId="15" xfId="0" applyFont="1" applyFill="1" applyBorder="1" applyAlignment="1"/>
    <xf numFmtId="0" fontId="0" fillId="0" borderId="5" xfId="0" applyBorder="1" applyAlignment="1" applyProtection="1">
      <alignment horizontal="center"/>
      <protection locked="0"/>
    </xf>
    <xf numFmtId="165" fontId="0" fillId="0" borderId="15" xfId="0" applyNumberFormat="1" applyBorder="1" applyAlignment="1">
      <alignment horizontal="center"/>
    </xf>
    <xf numFmtId="0" fontId="0" fillId="0" borderId="21" xfId="0" applyBorder="1" applyAlignment="1"/>
    <xf numFmtId="0" fontId="0" fillId="0" borderId="10" xfId="0" applyBorder="1" applyAlignment="1"/>
    <xf numFmtId="0" fontId="0" fillId="0" borderId="22" xfId="0" applyBorder="1" applyAlignment="1"/>
    <xf numFmtId="165" fontId="0" fillId="0" borderId="5" xfId="0" applyNumberFormat="1" applyBorder="1" applyAlignment="1"/>
    <xf numFmtId="0" fontId="0" fillId="0" borderId="8" xfId="0" applyBorder="1" applyAlignment="1"/>
    <xf numFmtId="0" fontId="0" fillId="0" borderId="6" xfId="0" applyBorder="1" applyAlignment="1"/>
    <xf numFmtId="0" fontId="0" fillId="0" borderId="16" xfId="0" applyBorder="1" applyAlignment="1"/>
    <xf numFmtId="166" fontId="0" fillId="0" borderId="14" xfId="0" applyNumberFormat="1" applyBorder="1" applyAlignment="1"/>
    <xf numFmtId="167" fontId="0" fillId="0" borderId="5" xfId="2" applyNumberFormat="1" applyFont="1" applyBorder="1" applyAlignment="1" applyProtection="1">
      <protection locked="0"/>
    </xf>
    <xf numFmtId="167" fontId="0" fillId="0" borderId="15" xfId="2" applyNumberFormat="1" applyFont="1" applyBorder="1" applyAlignment="1" applyProtection="1">
      <protection locked="0"/>
    </xf>
    <xf numFmtId="0" fontId="0" fillId="0" borderId="18" xfId="0" applyBorder="1" applyAlignment="1"/>
    <xf numFmtId="0" fontId="0" fillId="0" borderId="0" xfId="0" applyAlignment="1" applyProtection="1">
      <protection locked="0"/>
    </xf>
    <xf numFmtId="0" fontId="3" fillId="0" borderId="0" xfId="0" applyFont="1">
      <alignment vertical="center"/>
    </xf>
    <xf numFmtId="0" fontId="15" fillId="0" borderId="0" xfId="0" applyFont="1" applyAlignment="1"/>
    <xf numFmtId="0" fontId="3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164" fontId="0" fillId="0" borderId="0" xfId="1" applyFont="1" applyBorder="1">
      <alignment vertical="center"/>
    </xf>
    <xf numFmtId="164" fontId="0" fillId="0" borderId="0" xfId="1" applyFont="1" applyBorder="1" applyAlignment="1">
      <alignment horizontal="left" vertical="center"/>
    </xf>
    <xf numFmtId="0" fontId="13" fillId="6" borderId="0" xfId="4" applyAlignment="1"/>
    <xf numFmtId="0" fontId="13" fillId="6" borderId="0" xfId="4" applyAlignment="1">
      <alignment vertical="center"/>
    </xf>
    <xf numFmtId="0" fontId="13" fillId="6" borderId="0" xfId="4" applyAlignment="1">
      <alignment vertical="center" wrapText="1"/>
    </xf>
    <xf numFmtId="0" fontId="14" fillId="7" borderId="0" xfId="5" applyAlignment="1">
      <alignment vertical="center"/>
    </xf>
    <xf numFmtId="0" fontId="14" fillId="7" borderId="0" xfId="5" applyAlignment="1"/>
    <xf numFmtId="0" fontId="13" fillId="6" borderId="0" xfId="4" applyNumberFormat="1" applyAlignment="1"/>
    <xf numFmtId="0" fontId="13" fillId="6" borderId="0" xfId="4" applyNumberFormat="1" applyAlignment="1">
      <alignment vertical="center" wrapText="1"/>
    </xf>
    <xf numFmtId="0" fontId="14" fillId="7" borderId="0" xfId="5" applyNumberFormat="1" applyAlignment="1"/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/>
    <xf numFmtId="0" fontId="16" fillId="8" borderId="23" xfId="6" applyAlignment="1">
      <alignment vertical="center" wrapText="1"/>
    </xf>
    <xf numFmtId="0" fontId="14" fillId="7" borderId="0" xfId="5" applyNumberFormat="1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3" fillId="0" borderId="0" xfId="4" applyFill="1" applyAlignment="1">
      <alignment vertical="center"/>
    </xf>
    <xf numFmtId="164" fontId="5" fillId="0" borderId="2" xfId="1" applyFont="1" applyBorder="1" applyAlignment="1">
      <alignment horizontal="center" vertical="top" wrapText="1"/>
    </xf>
    <xf numFmtId="164" fontId="5" fillId="0" borderId="3" xfId="1" applyFont="1" applyBorder="1" applyAlignment="1">
      <alignment horizontal="center" vertical="top" wrapText="1"/>
    </xf>
    <xf numFmtId="164" fontId="5" fillId="0" borderId="3" xfId="1" applyFont="1" applyFill="1" applyBorder="1" applyAlignment="1">
      <alignment horizontal="center" vertical="top" wrapText="1"/>
    </xf>
    <xf numFmtId="164" fontId="5" fillId="0" borderId="14" xfId="1" applyFont="1" applyFill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15" xfId="0" applyFont="1" applyBorder="1" applyAlignment="1">
      <alignment horizontal="center" vertical="top" wrapText="1"/>
    </xf>
    <xf numFmtId="0" fontId="7" fillId="0" borderId="6" xfId="3" applyFont="1" applyBorder="1" applyAlignment="1">
      <alignment horizontal="center" vertical="top" wrapText="1"/>
    </xf>
    <xf numFmtId="0" fontId="7" fillId="0" borderId="7" xfId="3" applyFont="1" applyFill="1" applyBorder="1" applyAlignment="1">
      <alignment horizontal="center" vertical="top" wrapText="1"/>
    </xf>
    <xf numFmtId="0" fontId="7" fillId="0" borderId="5" xfId="3" applyFont="1" applyFill="1" applyBorder="1" applyAlignment="1">
      <alignment horizontal="center" vertical="top" wrapText="1"/>
    </xf>
    <xf numFmtId="0" fontId="7" fillId="0" borderId="15" xfId="3" applyFont="1" applyFill="1" applyBorder="1" applyAlignment="1">
      <alignment horizontal="center" vertical="top" wrapText="1"/>
    </xf>
    <xf numFmtId="0" fontId="0" fillId="0" borderId="8" xfId="0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 applyProtection="1">
      <alignment horizontal="left" vertical="top"/>
      <protection locked="0"/>
    </xf>
    <xf numFmtId="0" fontId="0" fillId="0" borderId="10" xfId="0" applyBorder="1" applyAlignment="1" applyProtection="1">
      <alignment horizontal="left" vertical="top"/>
      <protection locked="0"/>
    </xf>
    <xf numFmtId="0" fontId="0" fillId="0" borderId="20" xfId="0" applyBorder="1" applyAlignment="1" applyProtection="1">
      <alignment horizontal="left" vertical="top"/>
      <protection locked="0"/>
    </xf>
    <xf numFmtId="0" fontId="0" fillId="0" borderId="5" xfId="0" applyBorder="1" applyAlignment="1" applyProtection="1">
      <alignment vertical="top"/>
      <protection locked="0"/>
    </xf>
    <xf numFmtId="0" fontId="0" fillId="0" borderId="15" xfId="0" applyBorder="1" applyAlignment="1" applyProtection="1">
      <alignment vertical="top"/>
      <protection locked="0"/>
    </xf>
    <xf numFmtId="0" fontId="0" fillId="0" borderId="11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13" xfId="0" applyBorder="1" applyAlignment="1" applyProtection="1">
      <alignment horizontal="left" vertical="top"/>
      <protection locked="0"/>
    </xf>
    <xf numFmtId="0" fontId="0" fillId="0" borderId="13" xfId="0" applyBorder="1" applyAlignment="1">
      <alignment horizontal="center"/>
    </xf>
    <xf numFmtId="0" fontId="0" fillId="0" borderId="18" xfId="0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9" fillId="0" borderId="2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0" fillId="0" borderId="7" xfId="0" applyBorder="1" applyAlignment="1" applyProtection="1">
      <alignment horizontal="center" vertical="top"/>
      <protection locked="0"/>
    </xf>
    <xf numFmtId="0" fontId="0" fillId="0" borderId="12" xfId="0" applyBorder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 applyProtection="1">
      <alignment horizontal="center" wrapText="1"/>
      <protection locked="0"/>
    </xf>
    <xf numFmtId="165" fontId="0" fillId="0" borderId="15" xfId="0" applyNumberFormat="1" applyBorder="1" applyAlignment="1">
      <alignment horizontal="center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8" fillId="5" borderId="21" xfId="0" applyFont="1" applyFill="1" applyBorder="1" applyAlignment="1">
      <alignment horizontal="center"/>
    </xf>
    <xf numFmtId="0" fontId="8" fillId="5" borderId="10" xfId="0" applyFont="1" applyFill="1" applyBorder="1" applyAlignment="1">
      <alignment horizontal="center"/>
    </xf>
    <xf numFmtId="0" fontId="8" fillId="5" borderId="22" xfId="0" applyFont="1" applyFill="1" applyBorder="1" applyAlignment="1">
      <alignment horizontal="center"/>
    </xf>
    <xf numFmtId="164" fontId="4" fillId="0" borderId="0" xfId="1" applyFont="1" applyBorder="1" applyAlignment="1">
      <alignment horizontal="left" vertical="center"/>
    </xf>
    <xf numFmtId="168" fontId="0" fillId="0" borderId="0" xfId="1" applyNumberFormat="1" applyFont="1" applyBorder="1">
      <alignment vertical="center"/>
    </xf>
    <xf numFmtId="168" fontId="4" fillId="0" borderId="0" xfId="1" applyNumberFormat="1" applyFont="1" applyBorder="1" applyAlignment="1">
      <alignment horizontal="left" vertical="center"/>
    </xf>
    <xf numFmtId="168" fontId="0" fillId="0" borderId="0" xfId="1" applyNumberFormat="1" applyFont="1" applyBorder="1" applyAlignment="1">
      <alignment horizontal="left" vertical="center"/>
    </xf>
    <xf numFmtId="164" fontId="0" fillId="0" borderId="0" xfId="1" applyFont="1" applyFill="1" applyBorder="1">
      <alignment vertical="center"/>
    </xf>
  </cellXfs>
  <cellStyles count="7">
    <cellStyle name="Calculation" xfId="6" builtinId="22"/>
    <cellStyle name="Currency" xfId="1" builtinId="4"/>
    <cellStyle name="Good" xfId="4" builtinId="26"/>
    <cellStyle name="Hyperlink" xfId="3" builtinId="8"/>
    <cellStyle name="Neutral" xfId="5" builtinId="28"/>
    <cellStyle name="Normal" xfId="0" builtinId="0"/>
    <cellStyle name="Percent" xfId="2" builtinId="5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#REF!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tel:416-749-7490%20%20%20%20FAX:416-749-7491%20%20%20E:info@jandkcabinetryt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showZeros="0" zoomScale="85" zoomScaleNormal="85" workbookViewId="0">
      <selection activeCell="F19" sqref="F19"/>
    </sheetView>
  </sheetViews>
  <sheetFormatPr defaultColWidth="9" defaultRowHeight="15"/>
  <cols>
    <col min="1" max="1" width="17.7109375" style="6" customWidth="1"/>
    <col min="2" max="2" width="8.7109375" style="6" customWidth="1"/>
    <col min="3" max="3" width="11.28515625" style="6" customWidth="1"/>
    <col min="4" max="4" width="8.7109375" style="7" customWidth="1"/>
    <col min="5" max="5" width="3.7109375" style="6" customWidth="1"/>
    <col min="6" max="6" width="18.42578125" style="6" customWidth="1"/>
    <col min="7" max="7" width="5.140625" style="6" customWidth="1"/>
    <col min="8" max="8" width="10.7109375" style="6" customWidth="1"/>
    <col min="9" max="9" width="10" style="6" customWidth="1"/>
    <col min="10" max="10" width="4.28515625" style="6" customWidth="1"/>
    <col min="11" max="11" width="23.28515625" style="6" customWidth="1"/>
    <col min="12" max="12" width="13.28515625" style="6" customWidth="1"/>
    <col min="13" max="13" width="14.7109375" style="6" customWidth="1"/>
    <col min="14" max="14" width="12.140625" style="6" customWidth="1"/>
    <col min="15" max="16384" width="9" style="6"/>
  </cols>
  <sheetData>
    <row r="1" spans="1:15" ht="20.25" customHeight="1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5"/>
      <c r="K1" s="85"/>
      <c r="L1" s="85"/>
      <c r="M1" s="86"/>
    </row>
    <row r="2" spans="1:15" ht="15" customHeight="1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9"/>
    </row>
    <row r="3" spans="1:15" ht="15" customHeight="1">
      <c r="A3" s="90" t="s">
        <v>1</v>
      </c>
      <c r="B3" s="91"/>
      <c r="C3" s="91"/>
      <c r="D3" s="91"/>
      <c r="E3" s="92"/>
      <c r="F3" s="92"/>
      <c r="G3" s="92"/>
      <c r="H3" s="92"/>
      <c r="I3" s="92"/>
      <c r="J3" s="92"/>
      <c r="K3" s="92"/>
      <c r="L3" s="92"/>
      <c r="M3" s="93"/>
    </row>
    <row r="4" spans="1:15" ht="15" customHeight="1">
      <c r="A4" s="94" t="s">
        <v>2</v>
      </c>
      <c r="B4" s="95"/>
      <c r="C4" s="95"/>
      <c r="D4" s="95"/>
      <c r="E4" s="114"/>
      <c r="F4" s="96" t="s">
        <v>3</v>
      </c>
      <c r="G4" s="97"/>
      <c r="H4" s="97"/>
      <c r="I4" s="98"/>
      <c r="J4" s="118"/>
      <c r="K4" s="99" t="s">
        <v>4</v>
      </c>
      <c r="L4" s="99"/>
      <c r="M4" s="100"/>
    </row>
    <row r="5" spans="1:15" ht="15" customHeight="1">
      <c r="A5" s="101" t="s">
        <v>5</v>
      </c>
      <c r="B5" s="102"/>
      <c r="C5" s="102"/>
      <c r="D5" s="102"/>
      <c r="E5" s="115"/>
      <c r="F5" s="103" t="s">
        <v>6</v>
      </c>
      <c r="G5" s="103"/>
      <c r="H5" s="103"/>
      <c r="I5" s="103"/>
      <c r="J5" s="119"/>
      <c r="K5" s="36" t="s">
        <v>7</v>
      </c>
      <c r="L5" s="104"/>
      <c r="M5" s="105"/>
    </row>
    <row r="6" spans="1:15" ht="15" customHeight="1">
      <c r="A6" s="8" t="s">
        <v>8</v>
      </c>
      <c r="B6" s="9" t="s">
        <v>9</v>
      </c>
      <c r="C6" s="9" t="s">
        <v>10</v>
      </c>
      <c r="D6" s="10" t="s">
        <v>11</v>
      </c>
      <c r="E6" s="116"/>
      <c r="F6" s="8" t="s">
        <v>8</v>
      </c>
      <c r="G6" s="9" t="s">
        <v>9</v>
      </c>
      <c r="H6" s="9" t="s">
        <v>10</v>
      </c>
      <c r="I6" s="37" t="s">
        <v>12</v>
      </c>
      <c r="J6" s="120"/>
      <c r="K6" s="38"/>
      <c r="L6" s="106"/>
      <c r="M6" s="107"/>
    </row>
    <row r="7" spans="1:15">
      <c r="A7" s="11" t="s">
        <v>473</v>
      </c>
      <c r="B7" s="12">
        <v>1</v>
      </c>
      <c r="C7" s="13">
        <f>IFERROR(VLOOKUP(A7,PRICE!$A$1:$B$2601,2,FALSE),"0")</f>
        <v>851</v>
      </c>
      <c r="D7" s="14">
        <f t="shared" ref="D7:D21" si="0">C7*B7</f>
        <v>851</v>
      </c>
      <c r="E7" s="116"/>
      <c r="F7" s="11" t="s">
        <v>406</v>
      </c>
      <c r="G7" s="12">
        <v>1</v>
      </c>
      <c r="H7" s="13">
        <f>IFERROR(VLOOKUP(F7,PRICE!$A$1:$B$2601,2,FALSE),"0")</f>
        <v>1490</v>
      </c>
      <c r="I7" s="14">
        <f t="shared" ref="I7:I21" si="1">H7*G7</f>
        <v>1490</v>
      </c>
      <c r="J7" s="120"/>
      <c r="K7" s="39"/>
      <c r="L7" s="108"/>
      <c r="M7" s="109"/>
    </row>
    <row r="8" spans="1:15" ht="15" customHeight="1">
      <c r="A8" s="11" t="s">
        <v>628</v>
      </c>
      <c r="B8" s="12">
        <v>1</v>
      </c>
      <c r="C8" s="13">
        <f>IFERROR(VLOOKUP(A8,PRICE!$A$1:$B$2601,2,FALSE),"0")</f>
        <v>1200</v>
      </c>
      <c r="D8" s="14">
        <f t="shared" si="0"/>
        <v>1200</v>
      </c>
      <c r="E8" s="116"/>
      <c r="F8" s="11" t="s">
        <v>404</v>
      </c>
      <c r="G8" s="12">
        <v>1</v>
      </c>
      <c r="H8" s="13">
        <f>IFERROR(VLOOKUP(F8,PRICE!$A$1:$B$2601,2,FALSE),"0")</f>
        <v>1346</v>
      </c>
      <c r="I8" s="14">
        <f t="shared" si="1"/>
        <v>1346</v>
      </c>
      <c r="J8" s="120"/>
      <c r="K8" s="39"/>
      <c r="L8" s="108"/>
      <c r="M8" s="109"/>
    </row>
    <row r="9" spans="1:15">
      <c r="A9" s="11" t="s">
        <v>601</v>
      </c>
      <c r="B9" s="12">
        <v>4</v>
      </c>
      <c r="C9" s="13">
        <f>IFERROR(VLOOKUP(A9,PRICE!$A$1:$B$2601,2,FALSE),"0")</f>
        <v>51</v>
      </c>
      <c r="D9" s="14">
        <f t="shared" si="0"/>
        <v>204</v>
      </c>
      <c r="E9" s="116"/>
      <c r="F9" s="11" t="s">
        <v>420</v>
      </c>
      <c r="G9" s="12">
        <v>1</v>
      </c>
      <c r="H9" s="13">
        <f>IFERROR(VLOOKUP(F9,PRICE!$A$1:$B$2601,2,FALSE),"0")</f>
        <v>1046</v>
      </c>
      <c r="I9" s="14">
        <f t="shared" si="1"/>
        <v>1046</v>
      </c>
      <c r="J9" s="120"/>
      <c r="K9" s="131"/>
      <c r="L9" s="132"/>
      <c r="M9" s="133"/>
    </row>
    <row r="10" spans="1:15">
      <c r="A10" s="11" t="s">
        <v>553</v>
      </c>
      <c r="B10" s="12">
        <v>3</v>
      </c>
      <c r="C10" s="13">
        <f>IFERROR(VLOOKUP(A10,PRICE!$A$1:$B$2601,2,FALSE),"0")</f>
        <v>133</v>
      </c>
      <c r="D10" s="14">
        <f t="shared" si="0"/>
        <v>399</v>
      </c>
      <c r="E10" s="116"/>
      <c r="F10" s="11"/>
      <c r="G10" s="12">
        <v>1</v>
      </c>
      <c r="H10" s="13" t="str">
        <f>IFERROR(VLOOKUP(F10,PRICE!$A$1:$B$2601,2,FALSE),"0")</f>
        <v>0</v>
      </c>
      <c r="I10" s="14">
        <f t="shared" si="1"/>
        <v>0</v>
      </c>
      <c r="J10" s="120"/>
      <c r="K10" s="134" t="s">
        <v>17</v>
      </c>
      <c r="L10" s="135"/>
      <c r="M10" s="136"/>
    </row>
    <row r="11" spans="1:15">
      <c r="A11" s="11" t="s">
        <v>559</v>
      </c>
      <c r="B11" s="12">
        <v>2</v>
      </c>
      <c r="C11" s="13">
        <f>IFERROR(VLOOKUP(A11,PRICE!$A$1:$B$2601,2,FALSE),"0")</f>
        <v>83</v>
      </c>
      <c r="D11" s="14">
        <f t="shared" si="0"/>
        <v>166</v>
      </c>
      <c r="E11" s="116"/>
      <c r="F11" s="11" t="s">
        <v>391</v>
      </c>
      <c r="G11" s="12">
        <v>1</v>
      </c>
      <c r="H11" s="13">
        <f>IFERROR(VLOOKUP(F11,PRICE!$A$1:$B$2601,2,FALSE),"0")</f>
        <v>1060</v>
      </c>
      <c r="I11" s="14">
        <f t="shared" si="1"/>
        <v>1060</v>
      </c>
      <c r="J11" s="120"/>
      <c r="K11" s="125" t="s">
        <v>19</v>
      </c>
      <c r="L11" s="126"/>
      <c r="M11" s="127"/>
    </row>
    <row r="12" spans="1:15">
      <c r="A12" s="11"/>
      <c r="B12" s="12">
        <v>1</v>
      </c>
      <c r="C12" s="13" t="str">
        <f>IFERROR(VLOOKUP(A12,PRICE!$A$1:$B$2601,2,FALSE),"0")</f>
        <v>0</v>
      </c>
      <c r="D12" s="14">
        <f t="shared" si="0"/>
        <v>0</v>
      </c>
      <c r="E12" s="116"/>
      <c r="F12" s="11" t="s">
        <v>627</v>
      </c>
      <c r="G12" s="12">
        <v>2</v>
      </c>
      <c r="H12" s="13">
        <f>IFERROR(VLOOKUP(F12,PRICE!$A$1:$B$2601,2,FALSE),"0")</f>
        <v>37</v>
      </c>
      <c r="I12" s="14">
        <f t="shared" si="1"/>
        <v>74</v>
      </c>
      <c r="J12" s="120"/>
      <c r="K12" s="125"/>
      <c r="L12" s="126"/>
      <c r="M12" s="127"/>
    </row>
    <row r="13" spans="1:15">
      <c r="A13" s="11"/>
      <c r="B13" s="12">
        <v>1</v>
      </c>
      <c r="C13" s="13" t="str">
        <f>IFERROR(VLOOKUP(A13,PRICE!$A$1:$B$2601,2,FALSE),"0")</f>
        <v>0</v>
      </c>
      <c r="D13" s="14">
        <f t="shared" si="0"/>
        <v>0</v>
      </c>
      <c r="E13" s="116"/>
      <c r="F13" s="11" t="s">
        <v>408</v>
      </c>
      <c r="G13" s="12">
        <v>1</v>
      </c>
      <c r="H13" s="13">
        <f>IFERROR(VLOOKUP(F13,PRICE!$A$1:$B$2601,2,FALSE),"0")</f>
        <v>1620</v>
      </c>
      <c r="I13" s="14">
        <f t="shared" si="1"/>
        <v>1620</v>
      </c>
      <c r="J13" s="120"/>
      <c r="K13" s="110" t="s">
        <v>22</v>
      </c>
      <c r="L13" s="108"/>
      <c r="M13" s="109"/>
      <c r="N13" s="40"/>
      <c r="O13" s="40"/>
    </row>
    <row r="14" spans="1:15">
      <c r="A14" s="11"/>
      <c r="B14" s="12">
        <v>1</v>
      </c>
      <c r="C14" s="13" t="str">
        <f>IFERROR(VLOOKUP(A14,PRICE!$A$1:$B$2601,2,FALSE),"0")</f>
        <v>0</v>
      </c>
      <c r="D14" s="14">
        <f t="shared" si="0"/>
        <v>0</v>
      </c>
      <c r="E14" s="116"/>
      <c r="F14" s="11" t="s">
        <v>422</v>
      </c>
      <c r="G14" s="12">
        <v>1</v>
      </c>
      <c r="H14" s="13">
        <f>IFERROR(VLOOKUP(F14,PRICE!$A$1:$B$2601,2,FALSE),"0")</f>
        <v>1140</v>
      </c>
      <c r="I14" s="14">
        <f t="shared" si="1"/>
        <v>1140</v>
      </c>
      <c r="J14" s="120"/>
      <c r="K14" s="110" t="s">
        <v>24</v>
      </c>
      <c r="L14" s="108"/>
      <c r="M14" s="109"/>
    </row>
    <row r="15" spans="1:15">
      <c r="A15" s="11"/>
      <c r="B15" s="12">
        <v>1</v>
      </c>
      <c r="C15" s="13" t="str">
        <f>IFERROR(VLOOKUP(A15,PRICE!$A$1:$B$2601,2,FALSE),"0")</f>
        <v>0</v>
      </c>
      <c r="D15" s="14">
        <f t="shared" si="0"/>
        <v>0</v>
      </c>
      <c r="E15" s="116"/>
      <c r="F15" s="11" t="s">
        <v>487</v>
      </c>
      <c r="G15" s="12">
        <v>2</v>
      </c>
      <c r="H15" s="13">
        <f>IFERROR(VLOOKUP(F15,PRICE!$A$1:$B$2601,2,FALSE),"0")</f>
        <v>794</v>
      </c>
      <c r="I15" s="14">
        <f t="shared" si="1"/>
        <v>1588</v>
      </c>
      <c r="J15" s="120"/>
      <c r="K15" s="110" t="s">
        <v>26</v>
      </c>
      <c r="L15" s="108"/>
      <c r="M15" s="109"/>
    </row>
    <row r="16" spans="1:15" ht="16.5" customHeight="1">
      <c r="A16" s="11"/>
      <c r="B16" s="12">
        <v>5</v>
      </c>
      <c r="C16" s="13" t="str">
        <f>IFERROR(VLOOKUP(A16,PRICE!$A$1:$B$2601,2,FALSE),"0")</f>
        <v>0</v>
      </c>
      <c r="D16" s="14">
        <f t="shared" si="0"/>
        <v>0</v>
      </c>
      <c r="E16" s="116"/>
      <c r="F16" s="11" t="s">
        <v>472</v>
      </c>
      <c r="G16" s="12">
        <v>1</v>
      </c>
      <c r="H16" s="13">
        <f>IFERROR(VLOOKUP(F16,PRICE!$A$1:$B$2601,2,FALSE),"0")</f>
        <v>727</v>
      </c>
      <c r="I16" s="14">
        <f t="shared" si="1"/>
        <v>727</v>
      </c>
      <c r="J16" s="120"/>
      <c r="K16" s="128" t="s">
        <v>28</v>
      </c>
      <c r="L16" s="129"/>
      <c r="M16" s="130"/>
    </row>
    <row r="17" spans="1:13">
      <c r="A17" s="11"/>
      <c r="B17" s="12">
        <v>2</v>
      </c>
      <c r="C17" s="13" t="str">
        <f>IFERROR(VLOOKUP(A17,PRICE!$A$1:$B$2601,2,FALSE),"0")</f>
        <v>0</v>
      </c>
      <c r="D17" s="14">
        <f t="shared" si="0"/>
        <v>0</v>
      </c>
      <c r="E17" s="116"/>
      <c r="F17" s="11" t="s">
        <v>606</v>
      </c>
      <c r="G17" s="12">
        <v>2</v>
      </c>
      <c r="H17" s="13">
        <f>IFERROR(VLOOKUP(F17,PRICE!$A$1:$B$2601,2,FALSE),"0")</f>
        <v>175</v>
      </c>
      <c r="I17" s="14">
        <f t="shared" si="1"/>
        <v>350</v>
      </c>
      <c r="J17" s="120"/>
      <c r="K17" s="128"/>
      <c r="L17" s="129"/>
      <c r="M17" s="130"/>
    </row>
    <row r="18" spans="1:13">
      <c r="A18" s="11"/>
      <c r="B18" s="12">
        <v>2</v>
      </c>
      <c r="C18" s="13" t="str">
        <f>IFERROR(VLOOKUP(A18,PRICE!$A$1:$B$2601,2,FALSE),"0")</f>
        <v>0</v>
      </c>
      <c r="D18" s="14">
        <f t="shared" si="0"/>
        <v>0</v>
      </c>
      <c r="E18" s="116"/>
      <c r="F18" s="11" t="s">
        <v>440</v>
      </c>
      <c r="G18" s="12">
        <v>4</v>
      </c>
      <c r="H18" s="13">
        <f>IFERROR(VLOOKUP(F18,PRICE!$A$1:$B$2601,2,FALSE),"0")</f>
        <v>47</v>
      </c>
      <c r="I18" s="14">
        <f t="shared" si="1"/>
        <v>188</v>
      </c>
      <c r="J18" s="120"/>
      <c r="K18" s="128"/>
      <c r="L18" s="129"/>
      <c r="M18" s="130"/>
    </row>
    <row r="19" spans="1:13">
      <c r="A19" s="11"/>
      <c r="B19" s="12">
        <v>3</v>
      </c>
      <c r="C19" s="13" t="str">
        <f>IFERROR(VLOOKUP(A19,PRICE!$A$1:$B$2601,2,FALSE),"0")</f>
        <v>0</v>
      </c>
      <c r="D19" s="14">
        <f t="shared" si="0"/>
        <v>0</v>
      </c>
      <c r="E19" s="116"/>
      <c r="F19" s="11" t="s">
        <v>549</v>
      </c>
      <c r="G19" s="12">
        <v>3</v>
      </c>
      <c r="H19" s="13">
        <f>IFERROR(VLOOKUP(F19,PRICE!$A$1:$B$2601,2,FALSE),"0")</f>
        <v>47</v>
      </c>
      <c r="I19" s="14">
        <f t="shared" si="1"/>
        <v>141</v>
      </c>
      <c r="J19" s="120"/>
      <c r="K19" s="41"/>
      <c r="L19" s="26"/>
      <c r="M19" s="28"/>
    </row>
    <row r="20" spans="1:13">
      <c r="A20" s="11"/>
      <c r="B20" s="12">
        <v>1</v>
      </c>
      <c r="C20" s="13" t="str">
        <f>IFERROR(VLOOKUP(A20,PRICE!$A$1:$B$2601,2,FALSE),"0")</f>
        <v>0</v>
      </c>
      <c r="D20" s="14">
        <f t="shared" si="0"/>
        <v>0</v>
      </c>
      <c r="E20" s="116"/>
      <c r="F20" s="11"/>
      <c r="G20" s="12">
        <v>4</v>
      </c>
      <c r="H20" s="13" t="str">
        <f>IFERROR(VLOOKUP(F20,PRICE!$A$1:$B$2601,2,FALSE),"0")</f>
        <v>0</v>
      </c>
      <c r="I20" s="14">
        <f t="shared" si="1"/>
        <v>0</v>
      </c>
      <c r="J20" s="120"/>
      <c r="K20" s="41"/>
      <c r="L20" s="26"/>
      <c r="M20" s="28"/>
    </row>
    <row r="21" spans="1:13" ht="18.75">
      <c r="A21" s="11"/>
      <c r="B21" s="12">
        <v>3</v>
      </c>
      <c r="C21" s="13" t="str">
        <f>IFERROR(VLOOKUP(A21,PRICE!$A$1:$B$2601,2,FALSE),"0")</f>
        <v>0</v>
      </c>
      <c r="D21" s="14">
        <f t="shared" si="0"/>
        <v>0</v>
      </c>
      <c r="E21" s="116"/>
      <c r="F21" s="11"/>
      <c r="G21" s="12"/>
      <c r="H21" s="13" t="str">
        <f>IFERROR(VLOOKUP(F21,PRICE!$A$1:$B$2601,2,FALSE),"0")</f>
        <v>0</v>
      </c>
      <c r="I21" s="14">
        <f t="shared" si="1"/>
        <v>0</v>
      </c>
      <c r="J21" s="120"/>
      <c r="K21" s="111" t="s">
        <v>33</v>
      </c>
      <c r="L21" s="112"/>
      <c r="M21" s="113"/>
    </row>
    <row r="22" spans="1:13" ht="18.75">
      <c r="A22" s="11"/>
      <c r="B22" s="12"/>
      <c r="C22" s="13" t="str">
        <f>IFERROR(VLOOKUP(A22,PRICE!$A$1:$B$2601,2,FALSE),"0")</f>
        <v>0</v>
      </c>
      <c r="D22" s="14">
        <f t="shared" ref="D22:D35" si="2">C22*B22</f>
        <v>0</v>
      </c>
      <c r="E22" s="116"/>
      <c r="F22" s="11"/>
      <c r="G22" s="12"/>
      <c r="H22" s="13" t="str">
        <f>IFERROR(VLOOKUP(F22,PRICE!$A$1:$B$2601,2,FALSE),"0")</f>
        <v>0</v>
      </c>
      <c r="I22" s="14">
        <f t="shared" ref="I22:I35" si="3">H22*G22</f>
        <v>0</v>
      </c>
      <c r="J22" s="120"/>
      <c r="K22" s="42"/>
      <c r="L22" s="26"/>
      <c r="M22" s="28"/>
    </row>
    <row r="23" spans="1:13" ht="15.75">
      <c r="A23" s="11"/>
      <c r="B23" s="12"/>
      <c r="C23" s="13" t="str">
        <f>IFERROR(VLOOKUP(A23,PRICE!$A$1:$B$2601,2,FALSE),"0")</f>
        <v>0</v>
      </c>
      <c r="D23" s="14">
        <f t="shared" si="2"/>
        <v>0</v>
      </c>
      <c r="E23" s="116"/>
      <c r="F23" s="11"/>
      <c r="G23" s="12"/>
      <c r="H23" s="13" t="str">
        <f>IFERROR(VLOOKUP(F23,PRICE!$A$1:$B$2601,2,FALSE),"0")</f>
        <v>0</v>
      </c>
      <c r="I23" s="14">
        <f t="shared" si="3"/>
        <v>0</v>
      </c>
      <c r="J23" s="120"/>
      <c r="K23" s="43" t="s">
        <v>35</v>
      </c>
      <c r="L23" s="44" t="s">
        <v>36</v>
      </c>
      <c r="M23" s="45" t="s">
        <v>37</v>
      </c>
    </row>
    <row r="24" spans="1:13">
      <c r="A24" s="11"/>
      <c r="B24" s="12"/>
      <c r="C24" s="13" t="str">
        <f>IFERROR(VLOOKUP(A24,PRICE!$A$1:$B$2601,2,FALSE),"0")</f>
        <v>0</v>
      </c>
      <c r="D24" s="14">
        <f t="shared" si="2"/>
        <v>0</v>
      </c>
      <c r="E24" s="116"/>
      <c r="F24" s="11"/>
      <c r="G24" s="12"/>
      <c r="H24" s="13" t="str">
        <f>IFERROR(VLOOKUP(F24,PRICE!$A$1:$B$2601,2,FALSE),"0")</f>
        <v>0</v>
      </c>
      <c r="I24" s="14">
        <f t="shared" si="3"/>
        <v>0</v>
      </c>
      <c r="J24" s="120"/>
      <c r="K24" s="41" t="s">
        <v>38</v>
      </c>
      <c r="L24" s="46">
        <v>6</v>
      </c>
      <c r="M24" s="47">
        <v>50</v>
      </c>
    </row>
    <row r="25" spans="1:13">
      <c r="A25" s="11"/>
      <c r="B25" s="12"/>
      <c r="C25" s="13" t="str">
        <f>IFERROR(VLOOKUP(A25,PRICE!$A$1:$B$2601,2,FALSE),"0")</f>
        <v>0</v>
      </c>
      <c r="D25" s="14">
        <f t="shared" si="2"/>
        <v>0</v>
      </c>
      <c r="E25" s="116"/>
      <c r="F25" s="11"/>
      <c r="G25" s="12"/>
      <c r="H25" s="13" t="str">
        <f>IFERROR(VLOOKUP(F25,PRICE!$A$1:$B$2601,2,FALSE),"0")</f>
        <v>0</v>
      </c>
      <c r="I25" s="14">
        <f t="shared" si="3"/>
        <v>0</v>
      </c>
      <c r="J25" s="120"/>
      <c r="K25" s="41" t="s">
        <v>39</v>
      </c>
      <c r="L25" s="46">
        <v>5</v>
      </c>
      <c r="M25" s="47">
        <v>25</v>
      </c>
    </row>
    <row r="26" spans="1:13">
      <c r="A26" s="11"/>
      <c r="B26" s="12"/>
      <c r="C26" s="13" t="str">
        <f>IFERROR(VLOOKUP(A26,PRICE!$A$1:$B$2601,2,FALSE),"0")</f>
        <v>0</v>
      </c>
      <c r="D26" s="14">
        <f t="shared" si="2"/>
        <v>0</v>
      </c>
      <c r="E26" s="116"/>
      <c r="F26" s="11"/>
      <c r="G26" s="12"/>
      <c r="H26" s="13" t="str">
        <f>IFERROR(VLOOKUP(F26,PRICE!$A$1:$B$2601,2,FALSE),"0")</f>
        <v>0</v>
      </c>
      <c r="I26" s="14">
        <f t="shared" si="3"/>
        <v>0</v>
      </c>
      <c r="J26" s="120"/>
      <c r="K26" s="122" t="s">
        <v>40</v>
      </c>
      <c r="L26" s="123"/>
      <c r="M26" s="124">
        <v>100</v>
      </c>
    </row>
    <row r="27" spans="1:13">
      <c r="A27" s="11"/>
      <c r="B27" s="12"/>
      <c r="C27" s="13" t="str">
        <f>IFERROR(VLOOKUP(A27,PRICE!$A$1:$B$2601,2,FALSE),"0")</f>
        <v>0</v>
      </c>
      <c r="D27" s="14">
        <f t="shared" si="2"/>
        <v>0</v>
      </c>
      <c r="E27" s="116"/>
      <c r="F27" s="11"/>
      <c r="G27" s="12"/>
      <c r="H27" s="13" t="str">
        <f>IFERROR(VLOOKUP(F27,PRICE!$A$1:$B$2601,2,FALSE),"0")</f>
        <v>0</v>
      </c>
      <c r="I27" s="14">
        <f t="shared" si="3"/>
        <v>0</v>
      </c>
      <c r="J27" s="120"/>
      <c r="K27" s="122"/>
      <c r="L27" s="123"/>
      <c r="M27" s="124"/>
    </row>
    <row r="28" spans="1:13">
      <c r="A28" s="11"/>
      <c r="B28" s="12"/>
      <c r="C28" s="13" t="str">
        <f>IFERROR(VLOOKUP(A28,PRICE!$A$1:$B$2601,2,FALSE),"0")</f>
        <v>0</v>
      </c>
      <c r="D28" s="14">
        <f t="shared" si="2"/>
        <v>0</v>
      </c>
      <c r="E28" s="116"/>
      <c r="F28" s="11"/>
      <c r="G28" s="12"/>
      <c r="H28" s="13" t="str">
        <f>IFERROR(VLOOKUP(F28,PRICE!$A$1:$B$2601,2,FALSE),"0")</f>
        <v>0</v>
      </c>
      <c r="I28" s="14">
        <f t="shared" si="3"/>
        <v>0</v>
      </c>
      <c r="J28" s="120"/>
      <c r="K28" s="48" t="s">
        <v>41</v>
      </c>
      <c r="L28" s="49"/>
      <c r="M28" s="50"/>
    </row>
    <row r="29" spans="1:13">
      <c r="A29" s="11"/>
      <c r="B29" s="12"/>
      <c r="C29" s="13" t="str">
        <f>IFERROR(VLOOKUP(A29,PRICE!$A$1:$B$2601,2,FALSE),"0")</f>
        <v>0</v>
      </c>
      <c r="D29" s="14">
        <f t="shared" si="2"/>
        <v>0</v>
      </c>
      <c r="E29" s="116"/>
      <c r="F29" s="11"/>
      <c r="G29" s="12"/>
      <c r="H29" s="13" t="str">
        <f>IFERROR(VLOOKUP(F29,PRICE!$A$1:$B$2601,2,FALSE),"0")</f>
        <v>0</v>
      </c>
      <c r="I29" s="14">
        <f t="shared" si="3"/>
        <v>0</v>
      </c>
      <c r="J29" s="120"/>
      <c r="K29" s="48" t="s">
        <v>42</v>
      </c>
      <c r="L29" s="49"/>
      <c r="M29" s="50"/>
    </row>
    <row r="30" spans="1:13">
      <c r="A30" s="11" t="s">
        <v>43</v>
      </c>
      <c r="B30" s="15" t="s">
        <v>9</v>
      </c>
      <c r="C30" s="15" t="s">
        <v>10</v>
      </c>
      <c r="D30" s="16" t="s">
        <v>11</v>
      </c>
      <c r="E30" s="116"/>
      <c r="F30" s="11" t="s">
        <v>44</v>
      </c>
      <c r="G30" s="15" t="s">
        <v>9</v>
      </c>
      <c r="H30" s="15" t="s">
        <v>10</v>
      </c>
      <c r="I30" s="16" t="s">
        <v>11</v>
      </c>
      <c r="J30" s="120"/>
      <c r="K30" s="25" t="s">
        <v>45</v>
      </c>
      <c r="L30" s="51">
        <f>(L24*M24)+(L25*M25)+(L26*M26)+L28+L29</f>
        <v>425</v>
      </c>
      <c r="M30" s="28"/>
    </row>
    <row r="31" spans="1:13">
      <c r="A31" s="11"/>
      <c r="B31" s="12"/>
      <c r="C31" s="13"/>
      <c r="D31" s="14">
        <f t="shared" si="2"/>
        <v>0</v>
      </c>
      <c r="E31" s="116"/>
      <c r="F31" s="11"/>
      <c r="G31" s="12"/>
      <c r="H31" s="13"/>
      <c r="I31" s="14"/>
      <c r="J31" s="120"/>
      <c r="K31" s="52"/>
      <c r="M31" s="28"/>
    </row>
    <row r="32" spans="1:13">
      <c r="A32" s="11"/>
      <c r="B32" s="12"/>
      <c r="C32" s="13"/>
      <c r="D32" s="14">
        <f t="shared" si="2"/>
        <v>0</v>
      </c>
      <c r="E32" s="116"/>
      <c r="F32" s="11"/>
      <c r="G32" s="12"/>
      <c r="H32" s="13"/>
      <c r="I32" s="14"/>
      <c r="J32" s="120"/>
      <c r="K32" s="52"/>
      <c r="M32" s="28"/>
    </row>
    <row r="33" spans="1:13">
      <c r="A33" s="11"/>
      <c r="B33" s="12"/>
      <c r="C33" s="13"/>
      <c r="D33" s="14">
        <f t="shared" si="2"/>
        <v>0</v>
      </c>
      <c r="E33" s="116"/>
      <c r="F33" s="11"/>
      <c r="G33" s="12"/>
      <c r="H33" s="13"/>
      <c r="I33" s="14"/>
      <c r="J33" s="120"/>
      <c r="K33" s="52"/>
      <c r="M33" s="28"/>
    </row>
    <row r="34" spans="1:13">
      <c r="A34" s="11"/>
      <c r="B34" s="12"/>
      <c r="C34" s="13"/>
      <c r="D34" s="14">
        <f t="shared" si="2"/>
        <v>0</v>
      </c>
      <c r="E34" s="116"/>
      <c r="F34" s="11"/>
      <c r="G34" s="12"/>
      <c r="H34" s="13"/>
      <c r="I34" s="14"/>
      <c r="J34" s="120"/>
      <c r="K34" s="41"/>
      <c r="L34" s="12"/>
      <c r="M34" s="28"/>
    </row>
    <row r="35" spans="1:13">
      <c r="A35" s="17"/>
      <c r="B35" s="18"/>
      <c r="C35" s="19"/>
      <c r="D35" s="20">
        <f t="shared" si="2"/>
        <v>0</v>
      </c>
      <c r="E35" s="116"/>
      <c r="F35" s="17"/>
      <c r="G35" s="18"/>
      <c r="H35" s="19"/>
      <c r="I35" s="20">
        <f t="shared" si="3"/>
        <v>0</v>
      </c>
      <c r="J35" s="120"/>
      <c r="K35" s="53"/>
      <c r="L35" s="18"/>
      <c r="M35" s="54"/>
    </row>
    <row r="36" spans="1:13">
      <c r="A36" s="8" t="s">
        <v>46</v>
      </c>
      <c r="B36" s="21"/>
      <c r="C36" s="22">
        <f>SUM(D7:D29)+SUM(I7:I29)</f>
        <v>13590</v>
      </c>
      <c r="D36" s="23"/>
      <c r="E36" s="116"/>
      <c r="F36" s="8" t="s">
        <v>47</v>
      </c>
      <c r="G36" s="21"/>
      <c r="H36" s="24">
        <v>0.76</v>
      </c>
      <c r="I36" s="23"/>
      <c r="J36" s="120"/>
      <c r="K36" s="8" t="s">
        <v>48</v>
      </c>
      <c r="L36" s="21"/>
      <c r="M36" s="55">
        <f>(C36+M30)*(1-H36)</f>
        <v>3261.6</v>
      </c>
    </row>
    <row r="37" spans="1:13">
      <c r="A37" s="25" t="s">
        <v>49</v>
      </c>
      <c r="B37" s="26"/>
      <c r="C37" s="27">
        <f>L30</f>
        <v>425</v>
      </c>
      <c r="D37" s="28"/>
      <c r="E37" s="116"/>
      <c r="F37" s="29" t="s">
        <v>50</v>
      </c>
      <c r="G37" s="26"/>
      <c r="H37" s="27">
        <f>M36+C37+SUM(D31:D35)+SUM(I31:I35)</f>
        <v>3686.6</v>
      </c>
      <c r="I37" s="28"/>
      <c r="J37" s="120"/>
      <c r="K37" s="25" t="s">
        <v>51</v>
      </c>
      <c r="L37" s="56">
        <v>9.9750000000000005E-2</v>
      </c>
      <c r="M37" s="57">
        <v>0.05</v>
      </c>
    </row>
    <row r="38" spans="1:13">
      <c r="A38" s="30" t="s">
        <v>52</v>
      </c>
      <c r="B38" s="31">
        <f>H37*M37</f>
        <v>184.33</v>
      </c>
      <c r="C38" s="32" t="s">
        <v>53</v>
      </c>
      <c r="D38" s="33">
        <f>H37*L37</f>
        <v>367.73835000000003</v>
      </c>
      <c r="E38" s="117"/>
      <c r="F38" s="34" t="s">
        <v>54</v>
      </c>
      <c r="G38" s="35"/>
      <c r="H38" s="31">
        <f>D38+B38</f>
        <v>552.06835000000001</v>
      </c>
      <c r="I38" s="58"/>
      <c r="J38" s="121"/>
      <c r="K38" s="30" t="s">
        <v>55</v>
      </c>
      <c r="L38" s="35"/>
      <c r="M38" s="33">
        <f>H37+H38</f>
        <v>4238.6683499999999</v>
      </c>
    </row>
    <row r="39" spans="1:13">
      <c r="K39" s="59"/>
      <c r="L39" s="59"/>
    </row>
    <row r="40" spans="1:13">
      <c r="K40" s="59"/>
      <c r="L40" s="59"/>
    </row>
    <row r="41" spans="1:13">
      <c r="K41" s="59"/>
      <c r="L41" s="59"/>
    </row>
    <row r="42" spans="1:13">
      <c r="K42" s="59"/>
      <c r="L42" s="59"/>
    </row>
    <row r="43" spans="1:13">
      <c r="K43" s="59"/>
      <c r="L43" s="59"/>
    </row>
  </sheetData>
  <mergeCells count="27">
    <mergeCell ref="K15:M15"/>
    <mergeCell ref="K21:M21"/>
    <mergeCell ref="E4:E5"/>
    <mergeCell ref="E6:E38"/>
    <mergeCell ref="J4:J5"/>
    <mergeCell ref="J6:J38"/>
    <mergeCell ref="K26:K27"/>
    <mergeCell ref="L26:L27"/>
    <mergeCell ref="M26:M27"/>
    <mergeCell ref="K11:M12"/>
    <mergeCell ref="K16:M18"/>
    <mergeCell ref="L8:M8"/>
    <mergeCell ref="K9:M9"/>
    <mergeCell ref="K10:M10"/>
    <mergeCell ref="K13:M13"/>
    <mergeCell ref="K14:M14"/>
    <mergeCell ref="A5:D5"/>
    <mergeCell ref="F5:I5"/>
    <mergeCell ref="L5:M5"/>
    <mergeCell ref="L6:M6"/>
    <mergeCell ref="L7:M7"/>
    <mergeCell ref="A1:M1"/>
    <mergeCell ref="A2:M2"/>
    <mergeCell ref="A3:M3"/>
    <mergeCell ref="A4:D4"/>
    <mergeCell ref="F4:I4"/>
    <mergeCell ref="K4:M4"/>
  </mergeCells>
  <hyperlinks>
    <hyperlink ref="A3" r:id="rId1" xr:uid="{00000000-0004-0000-0000-000000000000}"/>
  </hyperlinks>
  <pageMargins left="0.39305555555555599" right="0.31458333333333299" top="0.27500000000000002" bottom="0.23611111111111099" header="0.196527777777778" footer="0.156944444444444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PRICE!$A:$A</xm:f>
          </x14:formula1>
          <xm:sqref>A7:A29 F7:F29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91"/>
  <sheetViews>
    <sheetView workbookViewId="0">
      <selection activeCell="A281" sqref="A281"/>
    </sheetView>
  </sheetViews>
  <sheetFormatPr defaultColWidth="9" defaultRowHeight="15"/>
  <cols>
    <col min="1" max="1" width="26.7109375" customWidth="1"/>
    <col min="2" max="2" width="9.140625" style="1"/>
    <col min="3" max="3" width="12.7109375"/>
    <col min="5" max="5" width="12.42578125" customWidth="1"/>
  </cols>
  <sheetData>
    <row r="1" spans="1:9">
      <c r="A1" s="2" t="s">
        <v>56</v>
      </c>
      <c r="B1" s="3" t="s">
        <v>57</v>
      </c>
    </row>
    <row r="2" spans="1:9">
      <c r="A2" s="4" t="s">
        <v>58</v>
      </c>
      <c r="B2" s="4">
        <v>810</v>
      </c>
      <c r="C2" s="4" t="s">
        <v>388</v>
      </c>
      <c r="D2" s="4">
        <v>742</v>
      </c>
      <c r="E2">
        <f>B2-D2</f>
        <v>68</v>
      </c>
      <c r="F2">
        <f>E2/B2</f>
        <v>8.3950617283950618E-2</v>
      </c>
    </row>
    <row r="3" spans="1:9">
      <c r="A3" s="4" t="s">
        <v>59</v>
      </c>
      <c r="B3" s="4">
        <v>900</v>
      </c>
      <c r="C3" s="4" t="s">
        <v>389</v>
      </c>
      <c r="D3" s="4">
        <v>822</v>
      </c>
      <c r="E3">
        <f t="shared" ref="E3:E10" si="0">B3-D3</f>
        <v>78</v>
      </c>
      <c r="F3">
        <f t="shared" ref="F3:F10" si="1">E3/B3</f>
        <v>8.666666666666667E-2</v>
      </c>
      <c r="I3" s="75" t="s">
        <v>749</v>
      </c>
    </row>
    <row r="4" spans="1:9">
      <c r="A4" s="4" t="s">
        <v>60</v>
      </c>
      <c r="B4" s="4">
        <v>970</v>
      </c>
      <c r="C4" s="4" t="s">
        <v>390</v>
      </c>
      <c r="D4" s="4">
        <v>883</v>
      </c>
      <c r="E4">
        <f t="shared" si="0"/>
        <v>87</v>
      </c>
      <c r="F4">
        <f t="shared" si="1"/>
        <v>8.9690721649484537E-2</v>
      </c>
      <c r="I4" s="75" t="s">
        <v>750</v>
      </c>
    </row>
    <row r="5" spans="1:9">
      <c r="A5" s="4" t="s">
        <v>61</v>
      </c>
      <c r="B5" s="4">
        <v>1171</v>
      </c>
      <c r="C5" s="4" t="s">
        <v>391</v>
      </c>
      <c r="D5" s="4">
        <v>1060</v>
      </c>
      <c r="E5">
        <f t="shared" si="0"/>
        <v>111</v>
      </c>
      <c r="F5">
        <f t="shared" si="1"/>
        <v>9.479077711357814E-2</v>
      </c>
    </row>
    <row r="6" spans="1:9">
      <c r="A6" s="4" t="s">
        <v>62</v>
      </c>
      <c r="B6" s="4">
        <v>1017</v>
      </c>
      <c r="C6" s="4" t="s">
        <v>392</v>
      </c>
      <c r="D6" s="4">
        <v>925</v>
      </c>
      <c r="E6">
        <f t="shared" si="0"/>
        <v>92</v>
      </c>
      <c r="F6">
        <f t="shared" si="1"/>
        <v>9.0462143559488686E-2</v>
      </c>
    </row>
    <row r="7" spans="1:9">
      <c r="A7" s="4" t="s">
        <v>63</v>
      </c>
      <c r="B7" s="4">
        <v>1336</v>
      </c>
      <c r="C7" s="4" t="s">
        <v>393</v>
      </c>
      <c r="D7" s="4">
        <v>1203</v>
      </c>
      <c r="E7">
        <f t="shared" si="0"/>
        <v>133</v>
      </c>
      <c r="F7">
        <f t="shared" si="1"/>
        <v>9.9550898203592808E-2</v>
      </c>
      <c r="I7" s="75" t="s">
        <v>751</v>
      </c>
    </row>
    <row r="8" spans="1:9">
      <c r="A8" s="4" t="s">
        <v>64</v>
      </c>
      <c r="B8" s="4">
        <v>1457</v>
      </c>
      <c r="C8" s="4" t="s">
        <v>394</v>
      </c>
      <c r="D8" s="4">
        <v>1303</v>
      </c>
      <c r="E8">
        <f t="shared" si="0"/>
        <v>154</v>
      </c>
      <c r="F8">
        <f t="shared" si="1"/>
        <v>0.10569663692518874</v>
      </c>
    </row>
    <row r="9" spans="1:9">
      <c r="A9" s="4" t="s">
        <v>65</v>
      </c>
      <c r="B9" s="4">
        <v>1569</v>
      </c>
      <c r="C9" s="4" t="s">
        <v>395</v>
      </c>
      <c r="D9" s="4">
        <v>1404</v>
      </c>
      <c r="E9">
        <f t="shared" si="0"/>
        <v>165</v>
      </c>
      <c r="F9">
        <f t="shared" si="1"/>
        <v>0.10516252390057361</v>
      </c>
    </row>
    <row r="10" spans="1:9">
      <c r="A10" s="4" t="s">
        <v>66</v>
      </c>
      <c r="B10" s="4">
        <v>1393</v>
      </c>
      <c r="C10" s="4" t="s">
        <v>396</v>
      </c>
      <c r="D10" s="4">
        <v>1241</v>
      </c>
      <c r="E10">
        <f t="shared" si="0"/>
        <v>152</v>
      </c>
      <c r="F10">
        <f t="shared" si="1"/>
        <v>0.10911701363962671</v>
      </c>
    </row>
    <row r="11" spans="1:9">
      <c r="A11" s="4" t="s">
        <v>67</v>
      </c>
      <c r="B11" s="4">
        <v>1153</v>
      </c>
      <c r="C11" s="4" t="s">
        <v>400</v>
      </c>
      <c r="D11" s="4">
        <v>1059</v>
      </c>
      <c r="E11">
        <f t="shared" ref="E11:E40" si="2">B11-D11</f>
        <v>94</v>
      </c>
      <c r="F11">
        <f t="shared" ref="F11:F40" si="3">E11/B11</f>
        <v>8.1526452732003471E-2</v>
      </c>
    </row>
    <row r="12" spans="1:9">
      <c r="A12" s="4" t="s">
        <v>68</v>
      </c>
      <c r="B12" s="4">
        <v>1273</v>
      </c>
      <c r="C12" s="4" t="s">
        <v>401</v>
      </c>
      <c r="D12" s="4">
        <v>1157</v>
      </c>
      <c r="E12">
        <f t="shared" si="2"/>
        <v>116</v>
      </c>
      <c r="F12">
        <f t="shared" si="3"/>
        <v>9.1123330714846823E-2</v>
      </c>
    </row>
    <row r="13" spans="1:9">
      <c r="A13" s="4" t="s">
        <v>69</v>
      </c>
      <c r="B13" s="4">
        <v>1364</v>
      </c>
      <c r="C13" s="4" t="s">
        <v>402</v>
      </c>
      <c r="D13" s="4">
        <v>1202</v>
      </c>
      <c r="E13">
        <f t="shared" si="2"/>
        <v>162</v>
      </c>
      <c r="F13">
        <f t="shared" si="3"/>
        <v>0.11876832844574781</v>
      </c>
    </row>
    <row r="14" spans="1:9">
      <c r="A14" s="4" t="s">
        <v>70</v>
      </c>
      <c r="B14" s="4">
        <v>1467</v>
      </c>
      <c r="C14" s="4" t="s">
        <v>403</v>
      </c>
      <c r="D14" s="4">
        <v>1306</v>
      </c>
      <c r="E14">
        <f t="shared" si="2"/>
        <v>161</v>
      </c>
      <c r="F14">
        <f t="shared" si="3"/>
        <v>0.10974778459441036</v>
      </c>
    </row>
    <row r="15" spans="1:9">
      <c r="A15" s="4" t="s">
        <v>71</v>
      </c>
      <c r="B15" s="4">
        <v>1509</v>
      </c>
      <c r="C15" s="4" t="s">
        <v>404</v>
      </c>
      <c r="D15" s="4">
        <v>1346</v>
      </c>
      <c r="E15">
        <f t="shared" si="2"/>
        <v>163</v>
      </c>
      <c r="F15">
        <f t="shared" si="3"/>
        <v>0.10801855533465872</v>
      </c>
    </row>
    <row r="16" spans="1:9">
      <c r="A16" s="4" t="s">
        <v>72</v>
      </c>
      <c r="B16" s="4">
        <v>1597</v>
      </c>
      <c r="C16" s="4" t="s">
        <v>405</v>
      </c>
      <c r="D16" s="4">
        <v>1419</v>
      </c>
      <c r="E16">
        <f t="shared" si="2"/>
        <v>178</v>
      </c>
      <c r="F16">
        <f t="shared" si="3"/>
        <v>0.11145898559799625</v>
      </c>
    </row>
    <row r="17" spans="1:6">
      <c r="A17" s="4" t="s">
        <v>73</v>
      </c>
      <c r="B17" s="4">
        <v>1669</v>
      </c>
      <c r="C17" s="4" t="s">
        <v>406</v>
      </c>
      <c r="D17" s="4">
        <v>1490</v>
      </c>
      <c r="E17">
        <f t="shared" si="2"/>
        <v>179</v>
      </c>
      <c r="F17">
        <f t="shared" si="3"/>
        <v>0.10724985020970641</v>
      </c>
    </row>
    <row r="18" spans="1:6">
      <c r="A18" s="4" t="s">
        <v>74</v>
      </c>
      <c r="B18" s="4">
        <v>1754</v>
      </c>
      <c r="C18" s="4" t="s">
        <v>407</v>
      </c>
      <c r="D18" s="4">
        <v>1552</v>
      </c>
      <c r="E18">
        <f t="shared" si="2"/>
        <v>202</v>
      </c>
      <c r="F18">
        <f t="shared" si="3"/>
        <v>0.11516533637400228</v>
      </c>
    </row>
    <row r="19" spans="1:6">
      <c r="A19" s="4" t="s">
        <v>75</v>
      </c>
      <c r="B19" s="4">
        <v>1854</v>
      </c>
      <c r="C19" s="4" t="s">
        <v>408</v>
      </c>
      <c r="D19" s="4">
        <v>1620</v>
      </c>
      <c r="E19">
        <f t="shared" si="2"/>
        <v>234</v>
      </c>
      <c r="F19">
        <f t="shared" si="3"/>
        <v>0.12621359223300971</v>
      </c>
    </row>
    <row r="20" spans="1:6">
      <c r="A20" s="4" t="s">
        <v>76</v>
      </c>
      <c r="B20" s="4">
        <v>865</v>
      </c>
    </row>
    <row r="21" spans="1:6">
      <c r="A21" s="4" t="s">
        <v>77</v>
      </c>
      <c r="B21" s="4">
        <v>944</v>
      </c>
    </row>
    <row r="22" spans="1:6">
      <c r="A22" s="4" t="s">
        <v>78</v>
      </c>
      <c r="B22" s="4">
        <v>1030</v>
      </c>
    </row>
    <row r="23" spans="1:6">
      <c r="A23" s="4" t="s">
        <v>79</v>
      </c>
      <c r="B23" s="4">
        <v>1139</v>
      </c>
    </row>
    <row r="24" spans="1:6">
      <c r="A24" s="4" t="s">
        <v>80</v>
      </c>
      <c r="B24" s="4">
        <v>1239</v>
      </c>
    </row>
    <row r="25" spans="1:6">
      <c r="A25" s="4" t="s">
        <v>81</v>
      </c>
      <c r="B25" s="4">
        <v>1328</v>
      </c>
      <c r="C25" s="4" t="s">
        <v>409</v>
      </c>
      <c r="D25" s="4">
        <v>1122</v>
      </c>
      <c r="E25">
        <f t="shared" si="2"/>
        <v>206</v>
      </c>
      <c r="F25">
        <f t="shared" si="3"/>
        <v>0.15512048192771086</v>
      </c>
    </row>
    <row r="26" spans="1:6">
      <c r="A26" s="4" t="s">
        <v>82</v>
      </c>
      <c r="B26" s="4">
        <v>1419</v>
      </c>
      <c r="C26" s="4" t="s">
        <v>410</v>
      </c>
      <c r="D26" s="4">
        <v>1211</v>
      </c>
      <c r="E26">
        <f t="shared" si="2"/>
        <v>208</v>
      </c>
      <c r="F26">
        <f t="shared" si="3"/>
        <v>0.14658210007047218</v>
      </c>
    </row>
    <row r="27" spans="1:6">
      <c r="A27" s="4" t="s">
        <v>83</v>
      </c>
      <c r="B27" s="4">
        <v>1519</v>
      </c>
    </row>
    <row r="28" spans="1:6">
      <c r="A28" s="4" t="s">
        <v>84</v>
      </c>
      <c r="B28" s="4">
        <v>1621</v>
      </c>
    </row>
    <row r="29" spans="1:6">
      <c r="A29" s="4" t="s">
        <v>85</v>
      </c>
      <c r="B29" s="4">
        <v>535</v>
      </c>
      <c r="C29" s="4" t="s">
        <v>411</v>
      </c>
      <c r="D29" s="4">
        <v>492</v>
      </c>
      <c r="E29">
        <f t="shared" si="2"/>
        <v>43</v>
      </c>
      <c r="F29">
        <f t="shared" si="3"/>
        <v>8.0373831775700941E-2</v>
      </c>
    </row>
    <row r="30" spans="1:6">
      <c r="A30" s="4" t="s">
        <v>86</v>
      </c>
      <c r="B30" s="4">
        <v>598</v>
      </c>
      <c r="C30" s="4" t="s">
        <v>412</v>
      </c>
      <c r="D30" s="4">
        <v>545</v>
      </c>
      <c r="E30">
        <f t="shared" si="2"/>
        <v>53</v>
      </c>
      <c r="F30">
        <f t="shared" si="3"/>
        <v>8.8628762541806017E-2</v>
      </c>
    </row>
    <row r="31" spans="1:6">
      <c r="A31" s="4" t="s">
        <v>87</v>
      </c>
      <c r="B31" s="4">
        <v>676</v>
      </c>
      <c r="C31" s="4" t="s">
        <v>413</v>
      </c>
      <c r="D31" s="4">
        <v>616</v>
      </c>
      <c r="E31">
        <f t="shared" si="2"/>
        <v>60</v>
      </c>
      <c r="F31">
        <f t="shared" si="3"/>
        <v>8.8757396449704137E-2</v>
      </c>
    </row>
    <row r="32" spans="1:6">
      <c r="A32" s="4" t="s">
        <v>88</v>
      </c>
      <c r="B32" s="4">
        <v>740</v>
      </c>
      <c r="C32" s="4" t="s">
        <v>414</v>
      </c>
      <c r="D32" s="4">
        <v>670</v>
      </c>
      <c r="E32">
        <f t="shared" si="2"/>
        <v>70</v>
      </c>
      <c r="F32">
        <f t="shared" si="3"/>
        <v>9.45945945945946E-2</v>
      </c>
    </row>
    <row r="33" spans="1:6">
      <c r="A33" s="4" t="s">
        <v>89</v>
      </c>
      <c r="B33" s="4">
        <v>818</v>
      </c>
      <c r="C33" s="4" t="s">
        <v>415</v>
      </c>
      <c r="D33" s="4">
        <v>732</v>
      </c>
      <c r="E33">
        <f t="shared" si="2"/>
        <v>86</v>
      </c>
      <c r="F33">
        <f t="shared" si="3"/>
        <v>0.10513447432762836</v>
      </c>
    </row>
    <row r="34" spans="1:6">
      <c r="A34" s="4" t="s">
        <v>90</v>
      </c>
      <c r="B34" s="4">
        <v>911</v>
      </c>
      <c r="C34" s="4" t="s">
        <v>416</v>
      </c>
      <c r="D34" s="4">
        <v>817</v>
      </c>
      <c r="E34">
        <f t="shared" si="2"/>
        <v>94</v>
      </c>
      <c r="F34">
        <f t="shared" si="3"/>
        <v>0.10318331503841932</v>
      </c>
    </row>
    <row r="35" spans="1:6">
      <c r="A35" s="4" t="s">
        <v>91</v>
      </c>
      <c r="B35" s="4">
        <v>982</v>
      </c>
      <c r="C35" s="4" t="s">
        <v>417</v>
      </c>
      <c r="D35" s="4">
        <v>875</v>
      </c>
      <c r="E35">
        <f t="shared" si="2"/>
        <v>107</v>
      </c>
      <c r="F35">
        <f t="shared" si="3"/>
        <v>0.10896130346232179</v>
      </c>
    </row>
    <row r="36" spans="1:6">
      <c r="A36" s="4" t="s">
        <v>92</v>
      </c>
      <c r="B36" s="4">
        <v>1051</v>
      </c>
      <c r="C36" s="4" t="s">
        <v>418</v>
      </c>
      <c r="D36" s="4">
        <v>937</v>
      </c>
      <c r="E36">
        <f t="shared" si="2"/>
        <v>114</v>
      </c>
      <c r="F36">
        <f t="shared" si="3"/>
        <v>0.10846812559467174</v>
      </c>
    </row>
    <row r="37" spans="1:6">
      <c r="A37" s="4" t="s">
        <v>93</v>
      </c>
      <c r="B37" s="4">
        <v>1110</v>
      </c>
      <c r="C37" s="4" t="s">
        <v>419</v>
      </c>
      <c r="D37" s="4">
        <v>991</v>
      </c>
      <c r="E37">
        <f t="shared" si="2"/>
        <v>119</v>
      </c>
      <c r="F37">
        <f t="shared" si="3"/>
        <v>0.10720720720720721</v>
      </c>
    </row>
    <row r="38" spans="1:6">
      <c r="A38" s="4" t="s">
        <v>94</v>
      </c>
      <c r="B38" s="4">
        <v>1187</v>
      </c>
      <c r="C38" s="4" t="s">
        <v>420</v>
      </c>
      <c r="D38" s="4">
        <v>1046</v>
      </c>
      <c r="E38">
        <f t="shared" si="2"/>
        <v>141</v>
      </c>
      <c r="F38">
        <f t="shared" si="3"/>
        <v>0.11878685762426285</v>
      </c>
    </row>
    <row r="39" spans="1:6">
      <c r="A39" s="4" t="s">
        <v>95</v>
      </c>
      <c r="B39" s="4">
        <v>1266</v>
      </c>
      <c r="C39" s="4" t="s">
        <v>421</v>
      </c>
      <c r="D39" s="4">
        <v>1109</v>
      </c>
      <c r="E39">
        <f t="shared" si="2"/>
        <v>157</v>
      </c>
      <c r="F39">
        <f t="shared" si="3"/>
        <v>0.1240126382306477</v>
      </c>
    </row>
    <row r="40" spans="1:6">
      <c r="A40" s="4" t="s">
        <v>96</v>
      </c>
      <c r="B40" s="4">
        <v>1301</v>
      </c>
      <c r="C40" s="4" t="s">
        <v>422</v>
      </c>
      <c r="D40" s="4">
        <v>1140</v>
      </c>
      <c r="E40">
        <f t="shared" si="2"/>
        <v>161</v>
      </c>
      <c r="F40">
        <f t="shared" si="3"/>
        <v>0.12375096079938509</v>
      </c>
    </row>
    <row r="41" spans="1:6">
      <c r="A41" s="4" t="s">
        <v>97</v>
      </c>
      <c r="B41" s="4">
        <v>992</v>
      </c>
      <c r="C41" s="4" t="s">
        <v>427</v>
      </c>
      <c r="D41" s="4">
        <v>1383</v>
      </c>
    </row>
    <row r="42" spans="1:6">
      <c r="A42" s="4" t="s">
        <v>98</v>
      </c>
      <c r="B42" s="4">
        <v>1070</v>
      </c>
      <c r="C42" s="4" t="s">
        <v>428</v>
      </c>
      <c r="D42" s="4">
        <v>1478</v>
      </c>
    </row>
    <row r="43" spans="1:6">
      <c r="A43" s="4" t="s">
        <v>99</v>
      </c>
      <c r="B43" s="4">
        <v>521</v>
      </c>
      <c r="C43" s="4" t="s">
        <v>429</v>
      </c>
      <c r="D43" s="4">
        <v>447</v>
      </c>
    </row>
    <row r="44" spans="1:6">
      <c r="A44" s="4" t="s">
        <v>100</v>
      </c>
      <c r="B44" s="4">
        <v>1459</v>
      </c>
      <c r="C44" s="4" t="s">
        <v>430</v>
      </c>
      <c r="D44" s="4">
        <v>54</v>
      </c>
    </row>
    <row r="45" spans="1:6">
      <c r="A45" s="4" t="s">
        <v>101</v>
      </c>
      <c r="B45" s="4">
        <v>1577</v>
      </c>
      <c r="C45" s="4" t="s">
        <v>431</v>
      </c>
      <c r="D45" s="4">
        <v>168</v>
      </c>
    </row>
    <row r="46" spans="1:6">
      <c r="A46" s="4" t="s">
        <v>102</v>
      </c>
      <c r="B46" s="4">
        <v>76</v>
      </c>
      <c r="C46" s="4" t="s">
        <v>432</v>
      </c>
      <c r="D46" s="4">
        <v>482</v>
      </c>
    </row>
    <row r="47" spans="1:6">
      <c r="A47" s="4" t="s">
        <v>103</v>
      </c>
      <c r="B47" s="4">
        <v>250</v>
      </c>
      <c r="C47" s="4" t="s">
        <v>433</v>
      </c>
      <c r="D47" s="4">
        <v>51</v>
      </c>
    </row>
    <row r="48" spans="1:6">
      <c r="A48" s="4" t="s">
        <v>104</v>
      </c>
      <c r="B48" s="4">
        <v>652</v>
      </c>
      <c r="C48" s="4" t="s">
        <v>434</v>
      </c>
      <c r="D48" s="4">
        <v>79</v>
      </c>
    </row>
    <row r="49" spans="1:6">
      <c r="A49" s="4" t="s">
        <v>105</v>
      </c>
      <c r="B49" s="4">
        <v>706</v>
      </c>
      <c r="C49" s="4" t="s">
        <v>435</v>
      </c>
      <c r="D49" s="4">
        <v>276</v>
      </c>
    </row>
    <row r="50" spans="1:6">
      <c r="A50" s="4" t="s">
        <v>106</v>
      </c>
      <c r="B50" s="4">
        <v>74</v>
      </c>
      <c r="C50" s="4" t="s">
        <v>440</v>
      </c>
      <c r="D50" s="4">
        <v>47</v>
      </c>
      <c r="E50">
        <f t="shared" ref="E50" si="4">B50-D50</f>
        <v>27</v>
      </c>
      <c r="F50">
        <f t="shared" ref="F50" si="5">E50/B50</f>
        <v>0.36486486486486486</v>
      </c>
    </row>
    <row r="51" spans="1:6">
      <c r="A51" s="4" t="s">
        <v>107</v>
      </c>
      <c r="B51" s="4">
        <v>881</v>
      </c>
      <c r="C51" s="4" t="s">
        <v>437</v>
      </c>
      <c r="D51" s="4">
        <v>554</v>
      </c>
    </row>
    <row r="52" spans="1:6">
      <c r="A52" s="4" t="s">
        <v>108</v>
      </c>
      <c r="B52" s="4">
        <v>1014</v>
      </c>
      <c r="C52" s="4" t="s">
        <v>438</v>
      </c>
      <c r="D52" s="4">
        <v>611</v>
      </c>
    </row>
    <row r="53" spans="1:6">
      <c r="A53" s="4" t="s">
        <v>109</v>
      </c>
      <c r="B53" s="4">
        <v>1098</v>
      </c>
      <c r="C53" s="4" t="s">
        <v>439</v>
      </c>
      <c r="D53" s="4">
        <v>660</v>
      </c>
    </row>
    <row r="54" spans="1:6">
      <c r="A54" s="4" t="s">
        <v>110</v>
      </c>
      <c r="B54" s="4">
        <v>1202</v>
      </c>
      <c r="C54" s="4" t="s">
        <v>440</v>
      </c>
      <c r="D54" s="4">
        <v>47</v>
      </c>
    </row>
    <row r="55" spans="1:6">
      <c r="A55" s="4" t="s">
        <v>111</v>
      </c>
      <c r="B55" s="4">
        <v>1253</v>
      </c>
      <c r="C55" s="4" t="s">
        <v>441</v>
      </c>
      <c r="D55" s="4">
        <v>798</v>
      </c>
    </row>
    <row r="56" spans="1:6">
      <c r="A56" s="4" t="s">
        <v>112</v>
      </c>
      <c r="B56" s="4">
        <v>388</v>
      </c>
      <c r="C56" s="4" t="s">
        <v>442</v>
      </c>
      <c r="D56" s="4">
        <v>910</v>
      </c>
    </row>
    <row r="57" spans="1:6">
      <c r="A57" s="4" t="s">
        <v>113</v>
      </c>
      <c r="B57" s="4">
        <v>440</v>
      </c>
      <c r="C57" s="4" t="s">
        <v>443</v>
      </c>
      <c r="D57" s="4">
        <v>1013</v>
      </c>
    </row>
    <row r="58" spans="1:6">
      <c r="A58" s="4" t="s">
        <v>114</v>
      </c>
      <c r="B58" s="4">
        <v>503</v>
      </c>
      <c r="C58" s="4" t="s">
        <v>444</v>
      </c>
      <c r="D58" s="4">
        <v>1098</v>
      </c>
    </row>
    <row r="59" spans="1:6">
      <c r="A59" s="4" t="s">
        <v>115</v>
      </c>
      <c r="B59" s="4">
        <v>564</v>
      </c>
      <c r="C59" s="4" t="s">
        <v>445</v>
      </c>
      <c r="D59" s="4">
        <v>1141</v>
      </c>
    </row>
    <row r="60" spans="1:6">
      <c r="A60" s="4" t="s">
        <v>116</v>
      </c>
      <c r="B60" s="4">
        <v>628</v>
      </c>
      <c r="C60" s="4" t="s">
        <v>446</v>
      </c>
      <c r="D60" s="4">
        <v>347</v>
      </c>
      <c r="E60">
        <f>B56-D60</f>
        <v>41</v>
      </c>
      <c r="F60">
        <f t="shared" ref="F60" si="6">E60/B60</f>
        <v>6.5286624203821655E-2</v>
      </c>
    </row>
    <row r="61" spans="1:6">
      <c r="A61" s="4" t="s">
        <v>117</v>
      </c>
      <c r="B61" s="4">
        <v>720</v>
      </c>
      <c r="C61" s="4" t="s">
        <v>447</v>
      </c>
      <c r="D61" s="4">
        <v>397</v>
      </c>
    </row>
    <row r="62" spans="1:6">
      <c r="A62" s="4" t="s">
        <v>118</v>
      </c>
      <c r="B62" s="4">
        <v>797</v>
      </c>
      <c r="C62" s="4" t="s">
        <v>448</v>
      </c>
      <c r="D62" s="4">
        <v>394</v>
      </c>
      <c r="E62">
        <f>B57-D62</f>
        <v>46</v>
      </c>
      <c r="F62">
        <f t="shared" ref="F62" si="7">E62/B62</f>
        <v>5.7716436637390213E-2</v>
      </c>
    </row>
    <row r="63" spans="1:6">
      <c r="A63" s="4" t="s">
        <v>119</v>
      </c>
      <c r="B63" s="4">
        <v>526</v>
      </c>
      <c r="C63" s="4" t="s">
        <v>449</v>
      </c>
      <c r="D63" s="4">
        <v>450</v>
      </c>
    </row>
    <row r="64" spans="1:6">
      <c r="A64" s="4" t="s">
        <v>120</v>
      </c>
      <c r="B64" s="4">
        <v>854</v>
      </c>
      <c r="C64" s="4" t="s">
        <v>450</v>
      </c>
      <c r="D64" s="4">
        <v>749</v>
      </c>
    </row>
    <row r="65" spans="1:6">
      <c r="A65" s="4" t="s">
        <v>121</v>
      </c>
      <c r="B65" s="4">
        <v>575</v>
      </c>
      <c r="C65" s="4" t="s">
        <v>451</v>
      </c>
      <c r="D65" s="4">
        <v>450</v>
      </c>
    </row>
    <row r="66" spans="1:6">
      <c r="A66" s="4" t="s">
        <v>122</v>
      </c>
      <c r="B66" s="4">
        <v>622</v>
      </c>
      <c r="C66" s="4" t="s">
        <v>452</v>
      </c>
      <c r="D66" s="4">
        <v>519</v>
      </c>
    </row>
    <row r="67" spans="1:6">
      <c r="A67" s="4" t="s">
        <v>123</v>
      </c>
      <c r="B67" s="4">
        <v>707</v>
      </c>
      <c r="C67" s="4" t="s">
        <v>453</v>
      </c>
      <c r="D67" s="4">
        <v>900</v>
      </c>
    </row>
    <row r="68" spans="1:6">
      <c r="A68" s="4" t="s">
        <v>124</v>
      </c>
      <c r="B68" s="4">
        <v>349</v>
      </c>
      <c r="C68" s="4" t="s">
        <v>454</v>
      </c>
      <c r="D68" s="4">
        <v>499</v>
      </c>
    </row>
    <row r="69" spans="1:6">
      <c r="A69" s="4" t="s">
        <v>125</v>
      </c>
      <c r="B69" s="4">
        <v>379</v>
      </c>
      <c r="C69" s="4" t="s">
        <v>455</v>
      </c>
      <c r="D69" s="4">
        <v>567</v>
      </c>
    </row>
    <row r="70" spans="1:6">
      <c r="A70" s="4" t="s">
        <v>126</v>
      </c>
      <c r="B70" s="4">
        <v>414</v>
      </c>
      <c r="C70" s="4" t="s">
        <v>456</v>
      </c>
      <c r="D70" s="4">
        <v>996</v>
      </c>
    </row>
    <row r="71" spans="1:6">
      <c r="A71" s="4" t="s">
        <v>127</v>
      </c>
      <c r="B71" s="4">
        <v>592</v>
      </c>
      <c r="C71" s="4" t="s">
        <v>457</v>
      </c>
      <c r="D71" s="4">
        <v>562</v>
      </c>
    </row>
    <row r="72" spans="1:6">
      <c r="A72" s="4" t="s">
        <v>128</v>
      </c>
      <c r="B72" s="4">
        <v>907</v>
      </c>
      <c r="C72" s="4" t="s">
        <v>458</v>
      </c>
      <c r="D72" s="4">
        <v>628</v>
      </c>
    </row>
    <row r="73" spans="1:6">
      <c r="A73" s="4" t="s">
        <v>129</v>
      </c>
      <c r="B73" s="4">
        <v>634</v>
      </c>
      <c r="C73" s="4" t="s">
        <v>459</v>
      </c>
      <c r="D73" s="4">
        <v>1092</v>
      </c>
    </row>
    <row r="74" spans="1:6">
      <c r="A74" s="4" t="s">
        <v>130</v>
      </c>
      <c r="B74" s="4">
        <v>954</v>
      </c>
      <c r="C74" s="4" t="s">
        <v>460</v>
      </c>
      <c r="D74" s="4">
        <v>634</v>
      </c>
    </row>
    <row r="75" spans="1:6">
      <c r="A75" s="4" t="s">
        <v>131</v>
      </c>
      <c r="B75" s="4">
        <v>438</v>
      </c>
      <c r="C75" s="4" t="s">
        <v>461</v>
      </c>
      <c r="D75" s="4">
        <v>728</v>
      </c>
    </row>
    <row r="76" spans="1:6">
      <c r="A76" s="4" t="s">
        <v>132</v>
      </c>
      <c r="B76" s="4">
        <v>879</v>
      </c>
      <c r="C76" s="4" t="s">
        <v>462</v>
      </c>
      <c r="D76" s="4">
        <v>1341</v>
      </c>
    </row>
    <row r="77" spans="1:6">
      <c r="A77" s="4" t="s">
        <v>133</v>
      </c>
      <c r="B77" s="4">
        <v>942</v>
      </c>
      <c r="C77" s="4" t="s">
        <v>463</v>
      </c>
      <c r="D77" s="4">
        <v>687</v>
      </c>
    </row>
    <row r="78" spans="1:6">
      <c r="A78" s="4" t="s">
        <v>134</v>
      </c>
      <c r="B78" s="4">
        <v>69</v>
      </c>
      <c r="C78" s="4" t="s">
        <v>549</v>
      </c>
      <c r="D78" s="4">
        <v>47</v>
      </c>
      <c r="E78">
        <f>B78-D78</f>
        <v>22</v>
      </c>
      <c r="F78">
        <f t="shared" ref="F78:F89" si="8">E78/B78</f>
        <v>0.3188405797101449</v>
      </c>
    </row>
    <row r="79" spans="1:6">
      <c r="A79" s="4" t="s">
        <v>135</v>
      </c>
      <c r="B79" s="4">
        <v>75</v>
      </c>
      <c r="C79" s="4" t="s">
        <v>550</v>
      </c>
      <c r="D79" s="4">
        <v>51</v>
      </c>
      <c r="E79">
        <f t="shared" ref="E79:E89" si="9">B79-D79</f>
        <v>24</v>
      </c>
      <c r="F79">
        <f t="shared" ref="F79:F89" si="10">E79/B79</f>
        <v>0.32</v>
      </c>
    </row>
    <row r="80" spans="1:6">
      <c r="A80" s="4" t="s">
        <v>136</v>
      </c>
      <c r="B80" s="4">
        <v>140</v>
      </c>
      <c r="C80" s="4" t="s">
        <v>551</v>
      </c>
      <c r="D80" s="4">
        <v>96</v>
      </c>
      <c r="E80">
        <f t="shared" si="9"/>
        <v>44</v>
      </c>
      <c r="F80">
        <f t="shared" si="10"/>
        <v>0.31428571428571428</v>
      </c>
    </row>
    <row r="81" spans="1:6">
      <c r="A81" s="4" t="s">
        <v>137</v>
      </c>
      <c r="B81" s="4">
        <v>170</v>
      </c>
      <c r="C81" s="4" t="s">
        <v>552</v>
      </c>
      <c r="D81" s="4">
        <v>115</v>
      </c>
      <c r="E81">
        <f t="shared" si="9"/>
        <v>55</v>
      </c>
      <c r="F81">
        <f t="shared" si="10"/>
        <v>0.3235294117647059</v>
      </c>
    </row>
    <row r="82" spans="1:6">
      <c r="A82" s="4" t="s">
        <v>138</v>
      </c>
      <c r="B82" s="4">
        <v>197</v>
      </c>
      <c r="C82" s="4" t="s">
        <v>553</v>
      </c>
      <c r="D82" s="4">
        <v>133</v>
      </c>
      <c r="E82">
        <f t="shared" si="9"/>
        <v>64</v>
      </c>
      <c r="F82">
        <f t="shared" si="10"/>
        <v>0.32487309644670048</v>
      </c>
    </row>
    <row r="83" spans="1:6">
      <c r="A83" s="4" t="s">
        <v>139</v>
      </c>
      <c r="B83" s="4">
        <v>270</v>
      </c>
      <c r="C83" s="4" t="s">
        <v>554</v>
      </c>
      <c r="D83" s="4">
        <v>182</v>
      </c>
      <c r="E83">
        <f t="shared" si="9"/>
        <v>88</v>
      </c>
      <c r="F83">
        <f t="shared" si="10"/>
        <v>0.32592592592592595</v>
      </c>
    </row>
    <row r="84" spans="1:6">
      <c r="A84" s="4" t="s">
        <v>140</v>
      </c>
      <c r="B84" s="4">
        <v>145</v>
      </c>
      <c r="C84" s="4" t="s">
        <v>555</v>
      </c>
      <c r="D84" s="4">
        <v>98</v>
      </c>
      <c r="E84">
        <f t="shared" si="9"/>
        <v>47</v>
      </c>
      <c r="F84">
        <f t="shared" si="10"/>
        <v>0.32413793103448274</v>
      </c>
    </row>
    <row r="85" spans="1:6">
      <c r="A85" s="4" t="s">
        <v>141</v>
      </c>
      <c r="B85" s="4">
        <v>413</v>
      </c>
      <c r="C85" s="4" t="s">
        <v>556</v>
      </c>
      <c r="D85" s="4">
        <v>278</v>
      </c>
      <c r="E85">
        <f t="shared" si="9"/>
        <v>135</v>
      </c>
      <c r="F85">
        <f t="shared" si="10"/>
        <v>0.32687651331719131</v>
      </c>
    </row>
    <row r="86" spans="1:6">
      <c r="A86" s="4" t="s">
        <v>142</v>
      </c>
      <c r="B86" s="4">
        <v>496</v>
      </c>
      <c r="C86" s="4" t="s">
        <v>557</v>
      </c>
      <c r="D86" s="4">
        <v>339</v>
      </c>
      <c r="E86">
        <f t="shared" si="9"/>
        <v>157</v>
      </c>
      <c r="F86">
        <f t="shared" si="10"/>
        <v>0.31653225806451613</v>
      </c>
    </row>
    <row r="87" spans="1:6">
      <c r="A87" s="4" t="s">
        <v>143</v>
      </c>
      <c r="B87" s="4">
        <v>515</v>
      </c>
      <c r="C87" s="4" t="s">
        <v>558</v>
      </c>
      <c r="D87" s="4">
        <v>357</v>
      </c>
      <c r="E87">
        <f t="shared" si="9"/>
        <v>158</v>
      </c>
      <c r="F87">
        <f t="shared" si="10"/>
        <v>0.30679611650485439</v>
      </c>
    </row>
    <row r="88" spans="1:6">
      <c r="A88" s="4" t="s">
        <v>144</v>
      </c>
      <c r="B88" s="4">
        <v>122</v>
      </c>
      <c r="C88" s="4" t="s">
        <v>559</v>
      </c>
      <c r="D88" s="4">
        <v>83</v>
      </c>
      <c r="E88">
        <f t="shared" si="9"/>
        <v>39</v>
      </c>
      <c r="F88">
        <f t="shared" si="10"/>
        <v>0.31967213114754101</v>
      </c>
    </row>
    <row r="89" spans="1:6">
      <c r="A89" s="4" t="s">
        <v>145</v>
      </c>
      <c r="B89" s="4">
        <v>167</v>
      </c>
      <c r="C89" s="4" t="s">
        <v>560</v>
      </c>
      <c r="D89" s="4">
        <v>114</v>
      </c>
      <c r="E89">
        <f t="shared" si="9"/>
        <v>53</v>
      </c>
      <c r="F89">
        <f t="shared" si="10"/>
        <v>0.31736526946107785</v>
      </c>
    </row>
    <row r="90" spans="1:6">
      <c r="A90" s="4" t="s">
        <v>146</v>
      </c>
      <c r="B90" s="4">
        <v>193</v>
      </c>
      <c r="C90" s="4" t="s">
        <v>583</v>
      </c>
      <c r="D90" s="4">
        <v>150</v>
      </c>
      <c r="E90" s="4">
        <f>B90-D90</f>
        <v>43</v>
      </c>
      <c r="F90" s="4">
        <f>E90/B90</f>
        <v>0.22279792746113988</v>
      </c>
    </row>
    <row r="91" spans="1:6">
      <c r="A91" s="4" t="s">
        <v>147</v>
      </c>
      <c r="B91" s="4">
        <v>307</v>
      </c>
      <c r="C91" s="4" t="s">
        <v>584</v>
      </c>
      <c r="D91" s="4">
        <v>238</v>
      </c>
      <c r="E91" s="4"/>
      <c r="F91" s="4"/>
    </row>
    <row r="92" spans="1:6">
      <c r="A92" s="4" t="s">
        <v>148</v>
      </c>
      <c r="B92" s="4">
        <v>335</v>
      </c>
      <c r="C92" s="4" t="s">
        <v>585</v>
      </c>
      <c r="D92" s="4">
        <v>250</v>
      </c>
      <c r="E92" s="4"/>
      <c r="F92" s="4"/>
    </row>
    <row r="93" spans="1:6">
      <c r="A93" s="4" t="s">
        <v>149</v>
      </c>
      <c r="B93" s="4">
        <v>340</v>
      </c>
      <c r="C93" s="4" t="s">
        <v>586</v>
      </c>
      <c r="D93" s="4">
        <v>256</v>
      </c>
      <c r="E93" s="4"/>
      <c r="F93" s="4"/>
    </row>
    <row r="94" spans="1:6">
      <c r="A94" s="4" t="s">
        <v>150</v>
      </c>
      <c r="B94" s="4">
        <v>506</v>
      </c>
      <c r="C94" s="4" t="s">
        <v>587</v>
      </c>
      <c r="D94" s="4">
        <v>365</v>
      </c>
      <c r="E94" s="4"/>
      <c r="F94" s="4"/>
    </row>
    <row r="95" spans="1:6">
      <c r="A95" s="4" t="s">
        <v>151</v>
      </c>
      <c r="B95" s="4">
        <v>716</v>
      </c>
      <c r="C95" s="4" t="s">
        <v>588</v>
      </c>
      <c r="D95" s="4">
        <v>535</v>
      </c>
      <c r="E95" s="4"/>
      <c r="F95" s="4"/>
    </row>
    <row r="96" spans="1:6">
      <c r="A96" s="4" t="s">
        <v>152</v>
      </c>
      <c r="B96" s="4">
        <v>254</v>
      </c>
      <c r="C96" s="4" t="s">
        <v>589</v>
      </c>
      <c r="D96" s="4">
        <v>192</v>
      </c>
      <c r="E96" s="4"/>
      <c r="F96" s="4"/>
    </row>
    <row r="97" spans="1:6">
      <c r="A97" s="4" t="s">
        <v>153</v>
      </c>
      <c r="B97" s="4">
        <v>288</v>
      </c>
      <c r="C97" s="4" t="s">
        <v>590</v>
      </c>
      <c r="D97" s="4">
        <v>223</v>
      </c>
      <c r="E97" s="4"/>
      <c r="F97" s="4"/>
    </row>
    <row r="98" spans="1:6">
      <c r="A98" s="4" t="s">
        <v>154</v>
      </c>
      <c r="B98" s="4">
        <v>335</v>
      </c>
      <c r="C98" s="4" t="s">
        <v>591</v>
      </c>
      <c r="D98" s="4">
        <v>257</v>
      </c>
      <c r="E98" s="4"/>
      <c r="F98" s="4"/>
    </row>
    <row r="99" spans="1:6">
      <c r="A99" s="4" t="s">
        <v>155</v>
      </c>
      <c r="B99" s="4">
        <v>386</v>
      </c>
      <c r="C99" s="4" t="s">
        <v>592</v>
      </c>
      <c r="D99" s="4">
        <v>290</v>
      </c>
      <c r="E99" s="4"/>
      <c r="F99" s="4"/>
    </row>
    <row r="100" spans="1:6">
      <c r="A100" s="4" t="s">
        <v>156</v>
      </c>
      <c r="B100" s="4">
        <v>101</v>
      </c>
      <c r="C100" s="4" t="s">
        <v>486</v>
      </c>
      <c r="D100" s="4">
        <v>521</v>
      </c>
    </row>
    <row r="101" spans="1:6">
      <c r="A101" s="4" t="s">
        <v>157</v>
      </c>
      <c r="B101" s="4">
        <v>115</v>
      </c>
      <c r="C101" s="4" t="s">
        <v>487</v>
      </c>
      <c r="D101" s="4">
        <v>794</v>
      </c>
    </row>
    <row r="102" spans="1:6">
      <c r="A102" s="4" t="s">
        <v>158</v>
      </c>
      <c r="B102" s="4">
        <v>130</v>
      </c>
      <c r="C102" s="4" t="s">
        <v>488</v>
      </c>
      <c r="D102" s="4">
        <v>914</v>
      </c>
    </row>
    <row r="103" spans="1:6">
      <c r="A103" s="4" t="s">
        <v>159</v>
      </c>
      <c r="B103" s="4">
        <v>144</v>
      </c>
      <c r="C103" s="4" t="s">
        <v>489</v>
      </c>
      <c r="D103" s="4">
        <v>1685</v>
      </c>
    </row>
    <row r="104" spans="1:6">
      <c r="A104" s="4" t="s">
        <v>160</v>
      </c>
      <c r="B104" s="4">
        <v>160</v>
      </c>
      <c r="C104" s="4" t="s">
        <v>490</v>
      </c>
      <c r="D104" s="4">
        <v>514</v>
      </c>
    </row>
    <row r="105" spans="1:6">
      <c r="A105" s="4" t="s">
        <v>161</v>
      </c>
      <c r="B105" s="4">
        <v>175</v>
      </c>
      <c r="C105" s="4" t="s">
        <v>491</v>
      </c>
      <c r="D105" s="4">
        <v>601</v>
      </c>
    </row>
    <row r="106" spans="1:6">
      <c r="A106" s="4" t="s">
        <v>162</v>
      </c>
      <c r="B106" s="4">
        <v>189</v>
      </c>
      <c r="C106" s="4" t="s">
        <v>492</v>
      </c>
      <c r="D106" s="4">
        <v>712</v>
      </c>
    </row>
    <row r="107" spans="1:6">
      <c r="A107" s="4" t="s">
        <v>163</v>
      </c>
      <c r="B107" s="4">
        <v>215</v>
      </c>
      <c r="C107" s="4" t="s">
        <v>493</v>
      </c>
      <c r="D107" s="4">
        <v>735</v>
      </c>
    </row>
    <row r="108" spans="1:6">
      <c r="A108" s="4" t="s">
        <v>164</v>
      </c>
      <c r="B108" s="4">
        <v>11</v>
      </c>
      <c r="C108" s="4" t="s">
        <v>494</v>
      </c>
      <c r="D108" s="4">
        <v>935</v>
      </c>
    </row>
    <row r="109" spans="1:6">
      <c r="A109" s="5"/>
      <c r="B109" s="5"/>
      <c r="C109" s="4" t="s">
        <v>495</v>
      </c>
      <c r="D109" s="4">
        <v>997</v>
      </c>
    </row>
    <row r="110" spans="1:6">
      <c r="A110" s="4" t="s">
        <v>165</v>
      </c>
      <c r="B110" s="4">
        <v>665</v>
      </c>
      <c r="C110" s="4"/>
      <c r="D110" s="4"/>
      <c r="E110" s="4" t="s">
        <v>388</v>
      </c>
      <c r="F110" s="4">
        <v>742</v>
      </c>
    </row>
    <row r="111" spans="1:6">
      <c r="A111" s="4" t="s">
        <v>166</v>
      </c>
      <c r="B111" s="4">
        <v>737</v>
      </c>
      <c r="C111" s="4"/>
      <c r="D111" s="4"/>
    </row>
    <row r="112" spans="1:6">
      <c r="A112" s="4" t="s">
        <v>167</v>
      </c>
      <c r="B112" s="4">
        <v>790</v>
      </c>
      <c r="C112" s="4"/>
      <c r="D112" s="4"/>
    </row>
    <row r="113" spans="1:4">
      <c r="A113" s="4" t="s">
        <v>168</v>
      </c>
      <c r="B113" s="4">
        <v>950</v>
      </c>
      <c r="C113" s="4"/>
      <c r="D113" s="4"/>
    </row>
    <row r="114" spans="1:4">
      <c r="A114" s="4" t="s">
        <v>169</v>
      </c>
      <c r="B114" s="4">
        <v>829</v>
      </c>
      <c r="C114" s="4"/>
      <c r="D114" s="4"/>
    </row>
    <row r="115" spans="1:4">
      <c r="A115" s="4" t="s">
        <v>170</v>
      </c>
      <c r="B115" s="4">
        <v>1076</v>
      </c>
      <c r="C115" s="4" t="s">
        <v>393</v>
      </c>
      <c r="D115" s="4">
        <v>1203</v>
      </c>
    </row>
    <row r="116" spans="1:4">
      <c r="A116" s="4" t="s">
        <v>171</v>
      </c>
      <c r="B116" s="4">
        <v>1165</v>
      </c>
      <c r="C116" s="4"/>
      <c r="D116" s="4"/>
    </row>
    <row r="117" spans="1:4">
      <c r="A117" s="4" t="s">
        <v>172</v>
      </c>
      <c r="B117" s="4">
        <v>1252</v>
      </c>
      <c r="C117" s="4"/>
      <c r="D117" s="4"/>
    </row>
    <row r="118" spans="1:4">
      <c r="A118" s="4" t="s">
        <v>173</v>
      </c>
      <c r="B118" s="4">
        <v>1110</v>
      </c>
      <c r="C118" s="4"/>
      <c r="D118" s="4"/>
    </row>
    <row r="119" spans="1:4">
      <c r="A119" s="4" t="s">
        <v>174</v>
      </c>
      <c r="B119" s="4">
        <v>242</v>
      </c>
      <c r="C119" s="4"/>
      <c r="D119" s="4"/>
    </row>
    <row r="120" spans="1:4">
      <c r="A120" s="4" t="s">
        <v>175</v>
      </c>
      <c r="B120" s="4">
        <v>217</v>
      </c>
      <c r="C120" s="4"/>
      <c r="D120" s="4"/>
    </row>
    <row r="121" spans="1:4">
      <c r="A121" s="4" t="s">
        <v>176</v>
      </c>
      <c r="B121" s="4">
        <v>148</v>
      </c>
      <c r="C121" s="4"/>
      <c r="D121" s="4"/>
    </row>
    <row r="122" spans="1:4">
      <c r="A122" s="4" t="s">
        <v>177</v>
      </c>
      <c r="B122" s="4">
        <v>949</v>
      </c>
      <c r="C122" s="4"/>
      <c r="D122" s="4"/>
    </row>
    <row r="123" spans="1:4">
      <c r="A123" s="4" t="s">
        <v>27</v>
      </c>
      <c r="B123" s="4">
        <v>1036</v>
      </c>
      <c r="C123" s="4"/>
      <c r="D123" s="4"/>
    </row>
    <row r="124" spans="1:4">
      <c r="A124" s="4" t="s">
        <v>178</v>
      </c>
      <c r="B124" s="4">
        <v>1076</v>
      </c>
      <c r="C124" s="4"/>
      <c r="D124" s="4"/>
    </row>
    <row r="125" spans="1:4">
      <c r="A125" s="4" t="s">
        <v>25</v>
      </c>
      <c r="B125" s="4">
        <v>1169</v>
      </c>
      <c r="C125" s="4"/>
      <c r="D125" s="4"/>
    </row>
    <row r="126" spans="1:4">
      <c r="A126" s="4" t="s">
        <v>179</v>
      </c>
      <c r="B126" s="4">
        <v>1204</v>
      </c>
      <c r="C126" s="4"/>
      <c r="D126" s="4"/>
    </row>
    <row r="127" spans="1:4">
      <c r="A127" s="4" t="s">
        <v>180</v>
      </c>
      <c r="B127" s="4">
        <v>1269</v>
      </c>
      <c r="C127" s="4"/>
      <c r="D127" s="4"/>
    </row>
    <row r="128" spans="1:4">
      <c r="A128" s="4" t="s">
        <v>181</v>
      </c>
      <c r="B128" s="4">
        <v>1332</v>
      </c>
      <c r="C128" s="4"/>
      <c r="D128" s="4"/>
    </row>
    <row r="129" spans="1:4">
      <c r="A129" s="4" t="s">
        <v>182</v>
      </c>
      <c r="B129" s="4">
        <v>1386</v>
      </c>
      <c r="C129" s="4"/>
      <c r="D129" s="4"/>
    </row>
    <row r="130" spans="1:4">
      <c r="A130" s="4" t="s">
        <v>183</v>
      </c>
      <c r="B130" s="4">
        <v>1446</v>
      </c>
      <c r="C130" s="4"/>
      <c r="D130" s="4"/>
    </row>
    <row r="131" spans="1:4">
      <c r="A131" s="4" t="s">
        <v>184</v>
      </c>
      <c r="B131" s="4">
        <v>1003</v>
      </c>
      <c r="C131" s="4"/>
      <c r="D131" s="4"/>
    </row>
    <row r="132" spans="1:4">
      <c r="A132" s="4" t="s">
        <v>185</v>
      </c>
      <c r="B132" s="4">
        <v>1082</v>
      </c>
      <c r="C132" s="4"/>
      <c r="D132" s="4"/>
    </row>
    <row r="133" spans="1:4">
      <c r="A133" s="4" t="s">
        <v>186</v>
      </c>
      <c r="B133" s="4">
        <v>441</v>
      </c>
      <c r="C133" s="4"/>
      <c r="D133" s="4"/>
    </row>
    <row r="134" spans="1:4">
      <c r="A134" s="4" t="s">
        <v>187</v>
      </c>
      <c r="B134" s="4">
        <v>488</v>
      </c>
      <c r="C134" s="4"/>
      <c r="D134" s="4"/>
    </row>
    <row r="135" spans="1:4">
      <c r="A135" s="4" t="s">
        <v>188</v>
      </c>
      <c r="B135" s="4">
        <v>552</v>
      </c>
      <c r="C135" s="4"/>
      <c r="D135" s="4"/>
    </row>
    <row r="136" spans="1:4">
      <c r="A136" s="4" t="s">
        <v>189</v>
      </c>
      <c r="B136" s="4">
        <v>600</v>
      </c>
      <c r="C136" s="4"/>
      <c r="D136" s="4"/>
    </row>
    <row r="137" spans="1:4">
      <c r="A137" s="4" t="s">
        <v>190</v>
      </c>
      <c r="B137" s="4">
        <v>655</v>
      </c>
      <c r="C137" s="4"/>
      <c r="D137" s="4"/>
    </row>
    <row r="138" spans="1:4">
      <c r="A138" s="4" t="s">
        <v>191</v>
      </c>
      <c r="B138" s="4">
        <v>730</v>
      </c>
      <c r="C138" s="4"/>
      <c r="D138" s="4"/>
    </row>
    <row r="139" spans="1:4">
      <c r="A139" s="4" t="s">
        <v>192</v>
      </c>
      <c r="B139" s="4">
        <v>782</v>
      </c>
      <c r="C139" s="4"/>
      <c r="D139" s="4"/>
    </row>
    <row r="140" spans="1:4">
      <c r="A140" s="4" t="s">
        <v>193</v>
      </c>
      <c r="B140" s="4">
        <v>838</v>
      </c>
      <c r="C140" s="4"/>
      <c r="D140" s="4"/>
    </row>
    <row r="141" spans="1:4">
      <c r="A141" s="4" t="s">
        <v>30</v>
      </c>
      <c r="B141" s="4">
        <v>885</v>
      </c>
      <c r="C141" s="4"/>
      <c r="D141" s="4"/>
    </row>
    <row r="142" spans="1:4">
      <c r="A142" s="4" t="s">
        <v>194</v>
      </c>
      <c r="B142" s="4">
        <v>934</v>
      </c>
      <c r="C142" s="4"/>
      <c r="D142" s="4"/>
    </row>
    <row r="143" spans="1:4">
      <c r="A143" s="4" t="s">
        <v>195</v>
      </c>
      <c r="B143" s="4">
        <v>991</v>
      </c>
      <c r="C143" s="4"/>
      <c r="D143" s="4"/>
    </row>
    <row r="144" spans="1:4">
      <c r="A144" s="4" t="s">
        <v>196</v>
      </c>
      <c r="B144" s="4">
        <v>1018</v>
      </c>
      <c r="C144" s="4"/>
      <c r="D144" s="4"/>
    </row>
    <row r="145" spans="1:4">
      <c r="A145" s="4" t="s">
        <v>197</v>
      </c>
      <c r="B145" s="4">
        <v>780</v>
      </c>
      <c r="C145" s="4"/>
      <c r="D145" s="4"/>
    </row>
    <row r="146" spans="1:4">
      <c r="A146" s="4" t="s">
        <v>198</v>
      </c>
      <c r="B146" s="4">
        <v>839</v>
      </c>
      <c r="C146" s="4"/>
      <c r="D146" s="4"/>
    </row>
    <row r="147" spans="1:4">
      <c r="A147" s="4" t="s">
        <v>199</v>
      </c>
      <c r="B147" s="4">
        <v>402</v>
      </c>
      <c r="C147" s="4"/>
      <c r="D147" s="4"/>
    </row>
    <row r="148" spans="1:4">
      <c r="A148" s="4" t="s">
        <v>200</v>
      </c>
      <c r="B148" s="4">
        <v>201</v>
      </c>
      <c r="C148" s="4"/>
      <c r="D148" s="4"/>
    </row>
    <row r="149" spans="1:4">
      <c r="A149" s="4" t="s">
        <v>201</v>
      </c>
      <c r="B149" s="4">
        <v>1242</v>
      </c>
      <c r="C149" s="4"/>
      <c r="D149" s="4"/>
    </row>
    <row r="150" spans="1:4">
      <c r="A150" s="4" t="s">
        <v>29</v>
      </c>
      <c r="B150" s="4">
        <v>1327</v>
      </c>
      <c r="C150" s="4"/>
      <c r="D150" s="4"/>
    </row>
    <row r="151" spans="1:4">
      <c r="A151" s="4" t="s">
        <v>202</v>
      </c>
      <c r="B151" s="4">
        <v>391</v>
      </c>
      <c r="C151" s="4"/>
      <c r="D151" s="4"/>
    </row>
    <row r="152" spans="1:4">
      <c r="A152" s="4" t="s">
        <v>203</v>
      </c>
      <c r="B152" s="4">
        <v>49</v>
      </c>
      <c r="C152" s="4"/>
      <c r="D152" s="4"/>
    </row>
    <row r="153" spans="1:4">
      <c r="A153" s="4" t="s">
        <v>204</v>
      </c>
      <c r="B153" s="4">
        <v>152</v>
      </c>
      <c r="C153" s="4"/>
      <c r="D153" s="4"/>
    </row>
    <row r="154" spans="1:4">
      <c r="A154" s="4" t="s">
        <v>205</v>
      </c>
      <c r="B154" s="4">
        <v>435</v>
      </c>
      <c r="C154" s="4"/>
      <c r="D154" s="4"/>
    </row>
    <row r="155" spans="1:4">
      <c r="A155" s="4" t="s">
        <v>206</v>
      </c>
      <c r="B155" s="4">
        <v>46</v>
      </c>
      <c r="C155" s="4"/>
      <c r="D155" s="4"/>
    </row>
    <row r="156" spans="1:4">
      <c r="A156" s="4" t="s">
        <v>207</v>
      </c>
      <c r="B156" s="4">
        <v>71</v>
      </c>
      <c r="C156" s="4"/>
      <c r="D156" s="4"/>
    </row>
    <row r="157" spans="1:4">
      <c r="A157" s="4" t="s">
        <v>208</v>
      </c>
      <c r="B157" s="4">
        <v>249</v>
      </c>
      <c r="C157" s="4"/>
      <c r="D157" s="4"/>
    </row>
    <row r="158" spans="1:4">
      <c r="A158" s="4" t="s">
        <v>209</v>
      </c>
      <c r="B158" s="4">
        <v>171</v>
      </c>
      <c r="C158" s="4"/>
      <c r="D158" s="4"/>
    </row>
    <row r="159" spans="1:4">
      <c r="A159" s="4" t="s">
        <v>210</v>
      </c>
      <c r="B159" s="4">
        <v>497</v>
      </c>
      <c r="C159" s="4"/>
      <c r="D159" s="4"/>
    </row>
    <row r="160" spans="1:4">
      <c r="A160" s="4" t="s">
        <v>211</v>
      </c>
      <c r="B160" s="4">
        <v>548</v>
      </c>
      <c r="C160" s="4"/>
      <c r="D160" s="4"/>
    </row>
    <row r="161" spans="1:4">
      <c r="A161" s="4" t="s">
        <v>212</v>
      </c>
      <c r="B161" s="4">
        <v>593</v>
      </c>
      <c r="C161" s="4"/>
      <c r="D161" s="4"/>
    </row>
    <row r="162" spans="1:4">
      <c r="A162" s="4" t="s">
        <v>31</v>
      </c>
      <c r="B162" s="4">
        <v>42</v>
      </c>
      <c r="C162" s="4"/>
      <c r="D162" s="4"/>
    </row>
    <row r="163" spans="1:4">
      <c r="A163" s="4" t="s">
        <v>213</v>
      </c>
      <c r="B163" s="4">
        <v>713</v>
      </c>
      <c r="C163" s="4"/>
      <c r="D163" s="4"/>
    </row>
    <row r="164" spans="1:4">
      <c r="A164" s="4" t="s">
        <v>214</v>
      </c>
      <c r="B164" s="4">
        <v>813</v>
      </c>
      <c r="C164" s="4"/>
      <c r="D164" s="4"/>
    </row>
    <row r="165" spans="1:4">
      <c r="A165" s="4" t="s">
        <v>215</v>
      </c>
      <c r="B165" s="4">
        <v>908</v>
      </c>
      <c r="C165" s="4"/>
      <c r="D165" s="4"/>
    </row>
    <row r="166" spans="1:4">
      <c r="A166" s="4" t="s">
        <v>216</v>
      </c>
      <c r="B166" s="4">
        <v>984</v>
      </c>
      <c r="C166" s="4"/>
      <c r="D166" s="4"/>
    </row>
    <row r="167" spans="1:4">
      <c r="A167" s="4" t="s">
        <v>217</v>
      </c>
      <c r="B167" s="4">
        <v>1022</v>
      </c>
      <c r="C167" s="4"/>
      <c r="D167" s="4"/>
    </row>
    <row r="168" spans="1:4">
      <c r="A168" s="4" t="s">
        <v>218</v>
      </c>
      <c r="B168" s="4">
        <v>310</v>
      </c>
      <c r="C168" s="4"/>
      <c r="D168" s="4"/>
    </row>
    <row r="169" spans="1:4">
      <c r="A169" s="4" t="s">
        <v>219</v>
      </c>
      <c r="B169" s="4">
        <v>354</v>
      </c>
      <c r="C169" s="4"/>
      <c r="D169" s="4"/>
    </row>
    <row r="170" spans="1:4">
      <c r="A170" s="4" t="s">
        <v>220</v>
      </c>
      <c r="B170" s="4">
        <v>352</v>
      </c>
      <c r="C170" s="4"/>
      <c r="D170" s="4"/>
    </row>
    <row r="171" spans="1:4">
      <c r="A171" s="4" t="s">
        <v>14</v>
      </c>
      <c r="B171" s="4">
        <v>402</v>
      </c>
      <c r="C171" s="4"/>
      <c r="D171" s="4"/>
    </row>
    <row r="172" spans="1:4">
      <c r="A172" s="4" t="s">
        <v>221</v>
      </c>
      <c r="B172" s="4">
        <v>667</v>
      </c>
      <c r="C172" s="4"/>
      <c r="D172" s="4"/>
    </row>
    <row r="173" spans="1:4">
      <c r="A173" s="4" t="s">
        <v>222</v>
      </c>
      <c r="B173" s="4">
        <v>401</v>
      </c>
      <c r="C173" s="4"/>
      <c r="D173" s="4"/>
    </row>
    <row r="174" spans="1:4">
      <c r="A174" s="4" t="s">
        <v>223</v>
      </c>
      <c r="B174" s="4">
        <v>463</v>
      </c>
      <c r="C174" s="4"/>
      <c r="D174" s="4"/>
    </row>
    <row r="175" spans="1:4">
      <c r="A175" s="4" t="s">
        <v>224</v>
      </c>
      <c r="B175" s="4">
        <v>801</v>
      </c>
      <c r="C175" s="4"/>
      <c r="D175" s="4"/>
    </row>
    <row r="176" spans="1:4">
      <c r="A176" s="4" t="s">
        <v>225</v>
      </c>
      <c r="B176" s="4">
        <v>445</v>
      </c>
      <c r="C176" s="4"/>
      <c r="D176" s="4"/>
    </row>
    <row r="177" spans="1:4">
      <c r="A177" s="4" t="s">
        <v>226</v>
      </c>
      <c r="B177" s="4">
        <v>506</v>
      </c>
      <c r="C177" s="4"/>
      <c r="D177" s="4"/>
    </row>
    <row r="178" spans="1:4">
      <c r="A178" s="4" t="s">
        <v>227</v>
      </c>
      <c r="B178" s="4">
        <v>887</v>
      </c>
      <c r="C178" s="4"/>
      <c r="D178" s="4"/>
    </row>
    <row r="179" spans="1:4">
      <c r="A179" s="4" t="s">
        <v>228</v>
      </c>
      <c r="B179" s="4">
        <v>501</v>
      </c>
      <c r="C179" s="4"/>
      <c r="D179" s="4"/>
    </row>
    <row r="180" spans="1:4">
      <c r="A180" s="4" t="s">
        <v>229</v>
      </c>
      <c r="B180" s="4">
        <v>561</v>
      </c>
      <c r="C180" s="4"/>
      <c r="D180" s="4"/>
    </row>
    <row r="181" spans="1:4">
      <c r="A181" s="4" t="s">
        <v>230</v>
      </c>
      <c r="B181" s="4">
        <v>972</v>
      </c>
      <c r="C181" s="4"/>
      <c r="D181" s="4"/>
    </row>
    <row r="182" spans="1:4">
      <c r="A182" s="4" t="s">
        <v>231</v>
      </c>
      <c r="B182" s="4">
        <v>565</v>
      </c>
      <c r="C182" s="4"/>
      <c r="D182" s="4"/>
    </row>
    <row r="183" spans="1:4">
      <c r="A183" s="4" t="s">
        <v>18</v>
      </c>
      <c r="B183" s="4">
        <v>649</v>
      </c>
      <c r="C183" s="4"/>
      <c r="D183" s="4"/>
    </row>
    <row r="184" spans="1:4">
      <c r="A184" s="4" t="s">
        <v>232</v>
      </c>
      <c r="B184" s="4">
        <v>1193</v>
      </c>
      <c r="C184" s="4"/>
      <c r="D184" s="4"/>
    </row>
    <row r="185" spans="1:4">
      <c r="A185" s="4" t="s">
        <v>233</v>
      </c>
      <c r="B185" s="4">
        <v>613</v>
      </c>
      <c r="C185" s="4"/>
      <c r="D185" s="4"/>
    </row>
    <row r="186" spans="1:4">
      <c r="A186" s="4" t="s">
        <v>16</v>
      </c>
      <c r="B186" s="4">
        <v>702</v>
      </c>
      <c r="C186" s="4"/>
      <c r="D186" s="4"/>
    </row>
    <row r="187" spans="1:4">
      <c r="A187" s="4" t="s">
        <v>234</v>
      </c>
      <c r="B187" s="4">
        <v>1289</v>
      </c>
      <c r="C187" s="4"/>
      <c r="D187" s="4"/>
    </row>
    <row r="188" spans="1:4">
      <c r="A188" s="4" t="s">
        <v>235</v>
      </c>
      <c r="B188" s="4">
        <v>314</v>
      </c>
      <c r="C188" s="4"/>
      <c r="D188" s="4"/>
    </row>
    <row r="189" spans="1:4">
      <c r="A189" s="4" t="s">
        <v>236</v>
      </c>
      <c r="B189" s="4">
        <v>357</v>
      </c>
      <c r="C189" s="4"/>
      <c r="D189" s="4"/>
    </row>
    <row r="190" spans="1:4">
      <c r="A190" s="4" t="s">
        <v>237</v>
      </c>
      <c r="B190" s="4">
        <v>409</v>
      </c>
      <c r="C190" s="4"/>
      <c r="D190" s="4"/>
    </row>
    <row r="191" spans="1:4">
      <c r="A191" s="4" t="s">
        <v>238</v>
      </c>
      <c r="B191" s="4">
        <v>515</v>
      </c>
      <c r="C191" s="4"/>
      <c r="D191" s="4"/>
    </row>
    <row r="192" spans="1:4">
      <c r="A192" s="4" t="s">
        <v>239</v>
      </c>
      <c r="B192" s="4">
        <v>557</v>
      </c>
      <c r="C192" s="4"/>
      <c r="D192" s="4"/>
    </row>
    <row r="193" spans="1:4">
      <c r="A193" s="4" t="s">
        <v>240</v>
      </c>
      <c r="B193" s="4">
        <v>603</v>
      </c>
      <c r="C193" s="4"/>
      <c r="D193" s="4"/>
    </row>
    <row r="194" spans="1:4">
      <c r="A194" s="4" t="s">
        <v>241</v>
      </c>
      <c r="B194" s="4">
        <v>648</v>
      </c>
      <c r="C194" s="4"/>
      <c r="D194" s="4"/>
    </row>
    <row r="195" spans="1:4">
      <c r="A195" s="4" t="s">
        <v>242</v>
      </c>
      <c r="B195" s="4">
        <v>758</v>
      </c>
      <c r="C195" s="4"/>
      <c r="D195" s="4"/>
    </row>
    <row r="196" spans="1:4">
      <c r="A196" s="4" t="s">
        <v>243</v>
      </c>
      <c r="B196" s="4">
        <v>872</v>
      </c>
      <c r="C196" s="4"/>
      <c r="D196" s="4"/>
    </row>
    <row r="197" spans="1:4">
      <c r="A197" s="4" t="s">
        <v>244</v>
      </c>
      <c r="B197" s="4">
        <v>1378</v>
      </c>
      <c r="C197" s="4"/>
      <c r="D197" s="4"/>
    </row>
    <row r="198" spans="1:4">
      <c r="A198" s="4" t="s">
        <v>245</v>
      </c>
      <c r="B198" s="4">
        <v>447</v>
      </c>
      <c r="C198" s="4"/>
      <c r="D198" s="4"/>
    </row>
    <row r="199" spans="1:4">
      <c r="A199" s="4" t="s">
        <v>246</v>
      </c>
      <c r="B199" s="4">
        <v>489</v>
      </c>
      <c r="C199" s="4"/>
      <c r="D199" s="4"/>
    </row>
    <row r="200" spans="1:4">
      <c r="A200" s="4" t="s">
        <v>247</v>
      </c>
      <c r="B200" s="4">
        <v>555</v>
      </c>
      <c r="C200" s="4"/>
      <c r="D200" s="4"/>
    </row>
    <row r="201" spans="1:4">
      <c r="A201" s="4" t="s">
        <v>248</v>
      </c>
      <c r="B201" s="4">
        <v>689</v>
      </c>
      <c r="C201" s="4"/>
      <c r="D201" s="4"/>
    </row>
    <row r="202" spans="1:4">
      <c r="A202" s="4" t="s">
        <v>249</v>
      </c>
      <c r="B202" s="4">
        <v>713</v>
      </c>
      <c r="C202" s="4"/>
      <c r="D202" s="4"/>
    </row>
    <row r="203" spans="1:4">
      <c r="A203" s="4" t="s">
        <v>250</v>
      </c>
      <c r="B203" s="4">
        <v>592</v>
      </c>
      <c r="C203" s="4"/>
      <c r="D203" s="4"/>
    </row>
    <row r="204" spans="1:4">
      <c r="A204" s="4" t="s">
        <v>251</v>
      </c>
      <c r="B204" s="4">
        <v>338</v>
      </c>
      <c r="C204" s="4"/>
      <c r="D204" s="4"/>
    </row>
    <row r="205" spans="1:4">
      <c r="A205" s="4" t="s">
        <v>252</v>
      </c>
      <c r="B205" s="4">
        <v>464</v>
      </c>
      <c r="C205" s="4"/>
      <c r="D205" s="4"/>
    </row>
    <row r="206" spans="1:4">
      <c r="A206" s="4" t="s">
        <v>253</v>
      </c>
      <c r="B206" s="4">
        <v>708</v>
      </c>
      <c r="C206" s="4"/>
      <c r="D206" s="4"/>
    </row>
    <row r="207" spans="1:4">
      <c r="A207" s="4" t="s">
        <v>254</v>
      </c>
      <c r="B207" s="4">
        <v>814</v>
      </c>
      <c r="C207" s="4"/>
      <c r="D207" s="4"/>
    </row>
    <row r="208" spans="1:4">
      <c r="A208" s="4" t="s">
        <v>255</v>
      </c>
      <c r="B208" s="4">
        <v>1500</v>
      </c>
      <c r="C208" s="4"/>
      <c r="D208" s="4"/>
    </row>
    <row r="209" spans="1:4">
      <c r="A209" s="4" t="s">
        <v>256</v>
      </c>
      <c r="B209" s="4">
        <v>460</v>
      </c>
      <c r="C209" s="4"/>
      <c r="D209" s="4"/>
    </row>
    <row r="210" spans="1:4">
      <c r="A210" s="4" t="s">
        <v>257</v>
      </c>
      <c r="B210" s="4">
        <v>536</v>
      </c>
      <c r="C210" s="4"/>
      <c r="D210" s="4"/>
    </row>
    <row r="211" spans="1:4">
      <c r="A211" s="4" t="s">
        <v>258</v>
      </c>
      <c r="B211" s="4">
        <v>636</v>
      </c>
      <c r="C211" s="4"/>
      <c r="D211" s="4"/>
    </row>
    <row r="212" spans="1:4">
      <c r="A212" s="4" t="s">
        <v>23</v>
      </c>
      <c r="B212" s="4">
        <v>655</v>
      </c>
      <c r="C212" s="4"/>
      <c r="D212" s="4"/>
    </row>
    <row r="213" spans="1:4">
      <c r="A213" s="4" t="s">
        <v>259</v>
      </c>
      <c r="B213" s="4">
        <v>834</v>
      </c>
      <c r="C213" s="4"/>
      <c r="D213" s="4"/>
    </row>
    <row r="214" spans="1:4">
      <c r="A214" s="4" t="s">
        <v>260</v>
      </c>
      <c r="B214" s="4">
        <v>890</v>
      </c>
      <c r="C214" s="4"/>
      <c r="D214" s="4"/>
    </row>
    <row r="215" spans="1:4">
      <c r="A215" s="4" t="s">
        <v>261</v>
      </c>
      <c r="B215" s="4">
        <v>974</v>
      </c>
      <c r="C215" s="4"/>
      <c r="D215" s="4"/>
    </row>
    <row r="216" spans="1:4">
      <c r="A216" s="4" t="s">
        <v>262</v>
      </c>
      <c r="B216" s="4">
        <v>614</v>
      </c>
      <c r="C216" s="4"/>
      <c r="D216" s="4"/>
    </row>
    <row r="217" spans="1:4">
      <c r="A217" s="4" t="s">
        <v>263</v>
      </c>
      <c r="B217" s="4">
        <v>633</v>
      </c>
      <c r="C217" s="4"/>
      <c r="D217" s="4"/>
    </row>
    <row r="218" spans="1:4">
      <c r="A218" s="4" t="s">
        <v>264</v>
      </c>
      <c r="B218" s="4">
        <v>448</v>
      </c>
      <c r="C218" s="4"/>
      <c r="D218" s="4"/>
    </row>
    <row r="219" spans="1:4">
      <c r="A219" s="4" t="s">
        <v>265</v>
      </c>
      <c r="B219" s="4">
        <v>499</v>
      </c>
      <c r="C219" s="4"/>
      <c r="D219" s="4"/>
    </row>
    <row r="220" spans="1:4">
      <c r="A220" s="4" t="s">
        <v>266</v>
      </c>
      <c r="B220" s="4">
        <v>602</v>
      </c>
      <c r="C220" s="4"/>
      <c r="D220" s="4"/>
    </row>
    <row r="221" spans="1:4">
      <c r="A221" s="4" t="s">
        <v>267</v>
      </c>
      <c r="B221" s="4">
        <v>752</v>
      </c>
      <c r="C221" s="4"/>
      <c r="D221" s="4"/>
    </row>
    <row r="222" spans="1:4">
      <c r="A222" s="4" t="s">
        <v>268</v>
      </c>
      <c r="B222" s="4">
        <v>853</v>
      </c>
      <c r="C222" s="4"/>
      <c r="D222" s="4"/>
    </row>
    <row r="223" spans="1:4">
      <c r="A223" s="4" t="s">
        <v>269</v>
      </c>
      <c r="B223" s="4">
        <v>986</v>
      </c>
      <c r="C223" s="4"/>
      <c r="D223" s="4"/>
    </row>
    <row r="224" spans="1:4">
      <c r="A224" s="4" t="s">
        <v>270</v>
      </c>
      <c r="B224" s="4">
        <v>1578</v>
      </c>
      <c r="C224" s="4"/>
      <c r="D224" s="4"/>
    </row>
    <row r="225" spans="1:4">
      <c r="A225" s="4" t="s">
        <v>271</v>
      </c>
      <c r="B225" s="4">
        <v>395</v>
      </c>
      <c r="C225" s="4"/>
      <c r="D225" s="4"/>
    </row>
    <row r="226" spans="1:4">
      <c r="A226" s="4" t="s">
        <v>272</v>
      </c>
      <c r="B226" s="4">
        <v>949</v>
      </c>
      <c r="C226" s="4"/>
      <c r="D226" s="4"/>
    </row>
    <row r="227" spans="1:4">
      <c r="A227" s="4" t="s">
        <v>273</v>
      </c>
      <c r="B227" s="4">
        <v>702</v>
      </c>
      <c r="C227" s="4"/>
      <c r="D227" s="4"/>
    </row>
    <row r="228" spans="1:4">
      <c r="A228" s="4" t="s">
        <v>274</v>
      </c>
      <c r="B228" s="4">
        <v>504</v>
      </c>
      <c r="C228" s="4"/>
      <c r="D228" s="4"/>
    </row>
    <row r="229" spans="1:4">
      <c r="A229" s="4" t="s">
        <v>275</v>
      </c>
      <c r="B229" s="4">
        <v>537</v>
      </c>
      <c r="C229" s="4"/>
      <c r="D229" s="4"/>
    </row>
    <row r="230" spans="1:4">
      <c r="A230" s="4" t="s">
        <v>276</v>
      </c>
      <c r="B230" s="4">
        <v>577</v>
      </c>
      <c r="C230" s="4"/>
      <c r="D230" s="4"/>
    </row>
    <row r="231" spans="1:4">
      <c r="A231" s="4" t="s">
        <v>20</v>
      </c>
      <c r="B231" s="4">
        <v>636</v>
      </c>
      <c r="C231" s="4"/>
      <c r="D231" s="4"/>
    </row>
    <row r="232" spans="1:4">
      <c r="A232" s="4" t="s">
        <v>277</v>
      </c>
      <c r="B232" s="4">
        <v>1142</v>
      </c>
      <c r="C232" s="4"/>
      <c r="D232" s="4"/>
    </row>
    <row r="233" spans="1:4">
      <c r="A233" s="4" t="s">
        <v>278</v>
      </c>
      <c r="B233" s="4">
        <v>664</v>
      </c>
      <c r="C233" s="4"/>
      <c r="D233" s="4"/>
    </row>
    <row r="234" spans="1:4">
      <c r="A234" s="4" t="s">
        <v>279</v>
      </c>
      <c r="B234" s="4">
        <v>749</v>
      </c>
      <c r="C234" s="4"/>
      <c r="D234" s="4"/>
    </row>
    <row r="235" spans="1:4">
      <c r="A235" s="4" t="s">
        <v>280</v>
      </c>
      <c r="B235" s="4">
        <v>711</v>
      </c>
      <c r="C235" s="4"/>
      <c r="D235" s="4"/>
    </row>
    <row r="236" spans="1:4">
      <c r="A236" s="4" t="s">
        <v>281</v>
      </c>
      <c r="B236" s="4">
        <v>795</v>
      </c>
      <c r="C236" s="4"/>
      <c r="D236" s="4"/>
    </row>
    <row r="237" spans="1:4">
      <c r="A237" s="4" t="s">
        <v>282</v>
      </c>
      <c r="B237" s="4">
        <v>772</v>
      </c>
      <c r="C237" s="4"/>
      <c r="D237" s="4"/>
    </row>
    <row r="238" spans="1:4">
      <c r="A238" s="4" t="s">
        <v>283</v>
      </c>
      <c r="B238" s="4">
        <v>850</v>
      </c>
      <c r="C238" s="4"/>
      <c r="D238" s="4"/>
    </row>
    <row r="239" spans="1:4">
      <c r="A239" s="4" t="s">
        <v>284</v>
      </c>
      <c r="B239" s="4">
        <v>1142</v>
      </c>
      <c r="C239" s="4"/>
      <c r="D239" s="4"/>
    </row>
    <row r="240" spans="1:4">
      <c r="A240" s="4" t="s">
        <v>285</v>
      </c>
      <c r="B240" s="4">
        <v>1236</v>
      </c>
      <c r="C240" s="4"/>
      <c r="D240" s="4"/>
    </row>
    <row r="241" spans="1:4">
      <c r="A241" s="4" t="s">
        <v>286</v>
      </c>
      <c r="B241" s="4">
        <v>1236</v>
      </c>
      <c r="C241" s="4"/>
      <c r="D241" s="4"/>
    </row>
    <row r="242" spans="1:4">
      <c r="A242" s="4" t="s">
        <v>287</v>
      </c>
      <c r="B242" s="4">
        <v>408</v>
      </c>
      <c r="C242" s="4"/>
      <c r="D242" s="4"/>
    </row>
    <row r="243" spans="1:4">
      <c r="A243" s="4" t="s">
        <v>288</v>
      </c>
      <c r="B243" s="4">
        <v>449</v>
      </c>
    </row>
    <row r="244" spans="1:4">
      <c r="A244" s="4" t="s">
        <v>289</v>
      </c>
      <c r="B244" s="4">
        <v>451</v>
      </c>
    </row>
    <row r="245" spans="1:4">
      <c r="A245" s="4" t="s">
        <v>290</v>
      </c>
      <c r="B245" s="4">
        <v>518</v>
      </c>
    </row>
    <row r="246" spans="1:4">
      <c r="A246" s="4" t="s">
        <v>291</v>
      </c>
      <c r="B246" s="4">
        <v>507</v>
      </c>
    </row>
    <row r="247" spans="1:4">
      <c r="A247" s="4" t="s">
        <v>292</v>
      </c>
      <c r="B247" s="4">
        <v>581</v>
      </c>
    </row>
    <row r="248" spans="1:4">
      <c r="A248" s="4" t="s">
        <v>293</v>
      </c>
      <c r="B248" s="4">
        <v>903</v>
      </c>
    </row>
    <row r="249" spans="1:4">
      <c r="A249" s="4" t="s">
        <v>294</v>
      </c>
      <c r="B249" s="4">
        <v>903</v>
      </c>
    </row>
    <row r="250" spans="1:4">
      <c r="A250" s="4" t="s">
        <v>295</v>
      </c>
      <c r="B250" s="4">
        <v>585</v>
      </c>
    </row>
    <row r="251" spans="1:4">
      <c r="A251" s="4" t="s">
        <v>296</v>
      </c>
      <c r="B251" s="4">
        <v>663</v>
      </c>
    </row>
    <row r="252" spans="1:4">
      <c r="A252" s="4" t="s">
        <v>297</v>
      </c>
      <c r="B252" s="4">
        <v>1041</v>
      </c>
    </row>
    <row r="253" spans="1:4">
      <c r="A253" s="4" t="s">
        <v>298</v>
      </c>
      <c r="B253" s="4">
        <v>1041</v>
      </c>
    </row>
    <row r="254" spans="1:4">
      <c r="A254" s="4" t="s">
        <v>299</v>
      </c>
      <c r="B254" s="4">
        <v>650</v>
      </c>
    </row>
    <row r="255" spans="1:4">
      <c r="A255" s="4" t="s">
        <v>300</v>
      </c>
      <c r="B255" s="4">
        <v>706</v>
      </c>
    </row>
    <row r="256" spans="1:4">
      <c r="A256" s="4" t="s">
        <v>301</v>
      </c>
      <c r="B256" s="4">
        <v>737</v>
      </c>
    </row>
    <row r="257" spans="1:2">
      <c r="A257" s="4" t="s">
        <v>302</v>
      </c>
      <c r="B257" s="4">
        <v>795</v>
      </c>
    </row>
    <row r="258" spans="1:2">
      <c r="A258" s="4" t="s">
        <v>303</v>
      </c>
      <c r="B258" s="4">
        <v>865</v>
      </c>
    </row>
    <row r="259" spans="1:2">
      <c r="A259" s="4" t="s">
        <v>304</v>
      </c>
      <c r="B259" s="4">
        <v>922</v>
      </c>
    </row>
    <row r="260" spans="1:2">
      <c r="A260" s="4" t="s">
        <v>305</v>
      </c>
      <c r="B260" s="4">
        <v>647</v>
      </c>
    </row>
    <row r="261" spans="1:2">
      <c r="A261" s="4" t="s">
        <v>306</v>
      </c>
      <c r="B261" s="4">
        <v>720</v>
      </c>
    </row>
    <row r="262" spans="1:2">
      <c r="A262" s="4" t="s">
        <v>307</v>
      </c>
      <c r="B262" s="4">
        <v>681</v>
      </c>
    </row>
    <row r="263" spans="1:2">
      <c r="A263" s="4" t="s">
        <v>21</v>
      </c>
      <c r="B263" s="4">
        <v>754</v>
      </c>
    </row>
    <row r="264" spans="1:2">
      <c r="A264" s="4" t="s">
        <v>308</v>
      </c>
      <c r="B264" s="4">
        <v>872</v>
      </c>
    </row>
    <row r="265" spans="1:2">
      <c r="A265" s="4" t="s">
        <v>309</v>
      </c>
      <c r="B265" s="4">
        <v>783</v>
      </c>
    </row>
    <row r="266" spans="1:2">
      <c r="A266" s="4" t="s">
        <v>15</v>
      </c>
      <c r="B266" s="4">
        <v>833</v>
      </c>
    </row>
    <row r="267" spans="1:2">
      <c r="A267" s="4" t="s">
        <v>310</v>
      </c>
      <c r="B267" s="4">
        <v>1207</v>
      </c>
    </row>
    <row r="268" spans="1:2">
      <c r="A268" s="4" t="s">
        <v>311</v>
      </c>
      <c r="B268" s="4">
        <v>42</v>
      </c>
    </row>
    <row r="269" spans="1:2">
      <c r="A269" s="4" t="s">
        <v>32</v>
      </c>
      <c r="B269" s="4">
        <v>46</v>
      </c>
    </row>
    <row r="270" spans="1:2">
      <c r="A270" s="4" t="s">
        <v>312</v>
      </c>
      <c r="B270" s="4">
        <v>87</v>
      </c>
    </row>
    <row r="271" spans="1:2">
      <c r="A271" s="4" t="s">
        <v>313</v>
      </c>
      <c r="B271" s="4">
        <v>104</v>
      </c>
    </row>
    <row r="272" spans="1:2">
      <c r="A272" s="4" t="s">
        <v>314</v>
      </c>
      <c r="B272" s="4">
        <v>120</v>
      </c>
    </row>
    <row r="273" spans="1:2">
      <c r="A273" s="4" t="s">
        <v>315</v>
      </c>
      <c r="B273" s="4">
        <v>164</v>
      </c>
    </row>
    <row r="274" spans="1:2">
      <c r="A274" s="4" t="s">
        <v>316</v>
      </c>
      <c r="B274" s="4">
        <v>88</v>
      </c>
    </row>
    <row r="275" spans="1:2">
      <c r="A275" s="4" t="s">
        <v>317</v>
      </c>
      <c r="B275" s="4">
        <v>251</v>
      </c>
    </row>
    <row r="276" spans="1:2">
      <c r="A276" s="4" t="s">
        <v>318</v>
      </c>
      <c r="B276" s="4">
        <v>306</v>
      </c>
    </row>
    <row r="277" spans="1:2">
      <c r="A277" s="4" t="s">
        <v>319</v>
      </c>
      <c r="B277" s="4">
        <v>322</v>
      </c>
    </row>
    <row r="278" spans="1:2">
      <c r="A278" s="4" t="s">
        <v>320</v>
      </c>
      <c r="B278" s="4">
        <v>75</v>
      </c>
    </row>
    <row r="279" spans="1:2">
      <c r="A279" s="4" t="s">
        <v>321</v>
      </c>
      <c r="B279" s="4">
        <v>103</v>
      </c>
    </row>
    <row r="280" spans="1:2">
      <c r="A280" s="4" t="s">
        <v>322</v>
      </c>
      <c r="B280" s="4">
        <v>1528</v>
      </c>
    </row>
    <row r="281" spans="1:2">
      <c r="A281" s="4" t="s">
        <v>323</v>
      </c>
      <c r="B281" s="4">
        <v>1650</v>
      </c>
    </row>
    <row r="282" spans="1:2">
      <c r="A282" s="4" t="s">
        <v>324</v>
      </c>
      <c r="B282" s="4">
        <v>1216</v>
      </c>
    </row>
    <row r="283" spans="1:2">
      <c r="A283" s="4" t="s">
        <v>325</v>
      </c>
      <c r="B283" s="4">
        <v>1349</v>
      </c>
    </row>
    <row r="284" spans="1:2">
      <c r="A284" s="4" t="s">
        <v>326</v>
      </c>
      <c r="B284" s="4">
        <v>1646</v>
      </c>
    </row>
    <row r="285" spans="1:2">
      <c r="A285" s="4" t="s">
        <v>327</v>
      </c>
      <c r="B285" s="4">
        <v>1768</v>
      </c>
    </row>
    <row r="286" spans="1:2">
      <c r="A286" s="4" t="s">
        <v>328</v>
      </c>
      <c r="B286" s="4">
        <v>1589</v>
      </c>
    </row>
    <row r="287" spans="1:2">
      <c r="A287" s="4" t="s">
        <v>329</v>
      </c>
      <c r="B287" s="4">
        <v>1695</v>
      </c>
    </row>
    <row r="288" spans="1:2">
      <c r="A288" s="4" t="s">
        <v>330</v>
      </c>
      <c r="B288" s="4">
        <v>1870</v>
      </c>
    </row>
    <row r="289" spans="1:2">
      <c r="A289" s="4" t="s">
        <v>331</v>
      </c>
      <c r="B289" s="4">
        <v>1894</v>
      </c>
    </row>
    <row r="290" spans="1:2">
      <c r="A290" s="4" t="s">
        <v>332</v>
      </c>
      <c r="B290" s="4">
        <v>1885</v>
      </c>
    </row>
    <row r="291" spans="1:2">
      <c r="A291" s="4" t="s">
        <v>333</v>
      </c>
      <c r="B291" s="4">
        <v>2081</v>
      </c>
    </row>
    <row r="292" spans="1:2">
      <c r="A292" s="4" t="s">
        <v>334</v>
      </c>
      <c r="B292" s="4">
        <v>2103</v>
      </c>
    </row>
    <row r="293" spans="1:2">
      <c r="A293" s="4" t="s">
        <v>335</v>
      </c>
      <c r="B293" s="4">
        <v>2007</v>
      </c>
    </row>
    <row r="294" spans="1:2">
      <c r="A294" s="4" t="s">
        <v>336</v>
      </c>
      <c r="B294" s="4">
        <v>1954</v>
      </c>
    </row>
    <row r="295" spans="1:2">
      <c r="A295" s="4" t="s">
        <v>337</v>
      </c>
      <c r="B295" s="4">
        <v>1981</v>
      </c>
    </row>
    <row r="296" spans="1:2">
      <c r="A296" s="4" t="s">
        <v>338</v>
      </c>
      <c r="B296" s="4">
        <v>2157</v>
      </c>
    </row>
    <row r="297" spans="1:2">
      <c r="A297" s="4" t="s">
        <v>339</v>
      </c>
      <c r="B297" s="4">
        <v>2078</v>
      </c>
    </row>
    <row r="298" spans="1:2">
      <c r="A298" s="4" t="s">
        <v>340</v>
      </c>
      <c r="B298" s="4">
        <v>2134</v>
      </c>
    </row>
    <row r="299" spans="1:2">
      <c r="A299" s="4" t="s">
        <v>341</v>
      </c>
      <c r="B299" s="4">
        <v>2724</v>
      </c>
    </row>
    <row r="300" spans="1:2">
      <c r="A300" s="4" t="s">
        <v>342</v>
      </c>
      <c r="B300" s="4">
        <v>2927</v>
      </c>
    </row>
    <row r="301" spans="1:2">
      <c r="A301" s="4" t="s">
        <v>343</v>
      </c>
      <c r="B301" s="4">
        <v>3043</v>
      </c>
    </row>
    <row r="302" spans="1:2">
      <c r="A302" s="4" t="s">
        <v>344</v>
      </c>
      <c r="B302" s="4">
        <v>132</v>
      </c>
    </row>
    <row r="303" spans="1:2">
      <c r="A303" s="4" t="s">
        <v>345</v>
      </c>
      <c r="B303" s="4">
        <v>209</v>
      </c>
    </row>
    <row r="304" spans="1:2">
      <c r="A304" s="4" t="s">
        <v>346</v>
      </c>
      <c r="B304" s="4">
        <v>221</v>
      </c>
    </row>
    <row r="305" spans="1:2">
      <c r="A305" s="4" t="s">
        <v>347</v>
      </c>
      <c r="B305" s="4">
        <v>225</v>
      </c>
    </row>
    <row r="306" spans="1:2">
      <c r="A306" s="4" t="s">
        <v>348</v>
      </c>
      <c r="B306" s="4">
        <v>321</v>
      </c>
    </row>
    <row r="307" spans="1:2">
      <c r="A307" s="4" t="s">
        <v>349</v>
      </c>
      <c r="B307" s="4">
        <v>474</v>
      </c>
    </row>
    <row r="308" spans="1:2">
      <c r="A308" s="4" t="s">
        <v>350</v>
      </c>
      <c r="B308" s="4">
        <v>169</v>
      </c>
    </row>
    <row r="309" spans="1:2">
      <c r="A309" s="4" t="s">
        <v>351</v>
      </c>
      <c r="B309" s="4">
        <v>196</v>
      </c>
    </row>
    <row r="310" spans="1:2">
      <c r="A310" s="4" t="s">
        <v>352</v>
      </c>
      <c r="B310" s="4">
        <v>226</v>
      </c>
    </row>
    <row r="311" spans="1:2">
      <c r="A311" s="4" t="s">
        <v>353</v>
      </c>
      <c r="B311" s="4">
        <v>255</v>
      </c>
    </row>
    <row r="312" spans="1:2">
      <c r="A312" s="4" t="s">
        <v>354</v>
      </c>
      <c r="B312" s="4">
        <v>91</v>
      </c>
    </row>
    <row r="313" spans="1:2">
      <c r="A313" s="4" t="s">
        <v>355</v>
      </c>
      <c r="B313" s="4">
        <v>104</v>
      </c>
    </row>
    <row r="314" spans="1:2">
      <c r="A314" s="4" t="s">
        <v>356</v>
      </c>
      <c r="B314" s="4">
        <v>117</v>
      </c>
    </row>
    <row r="315" spans="1:2">
      <c r="A315" s="4" t="s">
        <v>357</v>
      </c>
      <c r="B315" s="4">
        <v>130</v>
      </c>
    </row>
    <row r="316" spans="1:2">
      <c r="A316" s="4" t="s">
        <v>358</v>
      </c>
      <c r="B316" s="4">
        <v>144</v>
      </c>
    </row>
    <row r="317" spans="1:2">
      <c r="A317" s="4" t="s">
        <v>359</v>
      </c>
      <c r="B317" s="4">
        <v>158</v>
      </c>
    </row>
    <row r="318" spans="1:2">
      <c r="A318" s="4" t="s">
        <v>360</v>
      </c>
      <c r="B318" s="4">
        <v>171</v>
      </c>
    </row>
    <row r="319" spans="1:2">
      <c r="A319" s="4" t="s">
        <v>361</v>
      </c>
      <c r="B319" s="4">
        <v>194</v>
      </c>
    </row>
    <row r="320" spans="1:2">
      <c r="A320" s="4" t="s">
        <v>362</v>
      </c>
      <c r="B320" s="4">
        <v>46</v>
      </c>
    </row>
    <row r="321" spans="1:2">
      <c r="A321" s="4" t="s">
        <v>363</v>
      </c>
      <c r="B321" s="4">
        <v>45</v>
      </c>
    </row>
    <row r="322" spans="1:2">
      <c r="A322" s="4" t="s">
        <v>362</v>
      </c>
      <c r="B322" s="4">
        <v>54</v>
      </c>
    </row>
    <row r="323" spans="1:2">
      <c r="A323" s="4" t="s">
        <v>364</v>
      </c>
      <c r="B323" s="4">
        <v>73</v>
      </c>
    </row>
    <row r="324" spans="1:2">
      <c r="A324" s="4" t="s">
        <v>365</v>
      </c>
      <c r="B324" s="4">
        <v>302</v>
      </c>
    </row>
    <row r="325" spans="1:2">
      <c r="A325" s="4" t="s">
        <v>366</v>
      </c>
      <c r="B325" s="4">
        <v>108</v>
      </c>
    </row>
    <row r="326" spans="1:2">
      <c r="A326" s="4" t="s">
        <v>367</v>
      </c>
      <c r="B326" s="4">
        <v>158</v>
      </c>
    </row>
    <row r="327" spans="1:2">
      <c r="A327" s="4" t="s">
        <v>368</v>
      </c>
      <c r="B327" s="4">
        <v>164</v>
      </c>
    </row>
    <row r="328" spans="1:2">
      <c r="A328" s="4" t="s">
        <v>369</v>
      </c>
      <c r="B328" s="4">
        <v>215</v>
      </c>
    </row>
    <row r="329" spans="1:2">
      <c r="A329" s="4" t="s">
        <v>370</v>
      </c>
      <c r="B329" s="4">
        <v>267</v>
      </c>
    </row>
    <row r="330" spans="1:2">
      <c r="A330" s="4" t="s">
        <v>371</v>
      </c>
      <c r="B330" s="4">
        <v>202</v>
      </c>
    </row>
    <row r="331" spans="1:2">
      <c r="A331" s="4" t="s">
        <v>372</v>
      </c>
      <c r="B331" s="4">
        <v>194</v>
      </c>
    </row>
    <row r="332" spans="1:2">
      <c r="A332" s="4" t="s">
        <v>373</v>
      </c>
      <c r="B332" s="4">
        <v>103</v>
      </c>
    </row>
    <row r="333" spans="1:2">
      <c r="A333" s="4" t="s">
        <v>374</v>
      </c>
      <c r="B333" s="4">
        <v>137</v>
      </c>
    </row>
    <row r="334" spans="1:2">
      <c r="A334" s="4" t="s">
        <v>375</v>
      </c>
      <c r="B334" s="4">
        <v>171</v>
      </c>
    </row>
    <row r="335" spans="1:2">
      <c r="A335" s="4" t="s">
        <v>376</v>
      </c>
      <c r="B335" s="4">
        <v>205</v>
      </c>
    </row>
    <row r="336" spans="1:2">
      <c r="A336" s="4" t="s">
        <v>377</v>
      </c>
      <c r="B336" s="4">
        <v>240</v>
      </c>
    </row>
    <row r="337" spans="1:2">
      <c r="A337" s="4" t="s">
        <v>378</v>
      </c>
      <c r="B337" s="4">
        <v>274</v>
      </c>
    </row>
    <row r="338" spans="1:2">
      <c r="A338" s="4" t="s">
        <v>379</v>
      </c>
      <c r="B338" s="4">
        <v>308</v>
      </c>
    </row>
    <row r="339" spans="1:2">
      <c r="A339" s="4" t="s">
        <v>380</v>
      </c>
      <c r="B339" s="4">
        <v>342</v>
      </c>
    </row>
    <row r="340" spans="1:2">
      <c r="A340" s="4" t="s">
        <v>381</v>
      </c>
      <c r="B340" s="4">
        <v>377</v>
      </c>
    </row>
    <row r="341" spans="1:2">
      <c r="A341" s="4" t="s">
        <v>382</v>
      </c>
      <c r="B341" s="4">
        <v>411</v>
      </c>
    </row>
    <row r="342" spans="1:2">
      <c r="A342" s="4" t="s">
        <v>383</v>
      </c>
      <c r="B342" s="4">
        <v>202</v>
      </c>
    </row>
    <row r="343" spans="1:2">
      <c r="A343" s="4" t="s">
        <v>384</v>
      </c>
      <c r="B343" s="4">
        <v>154</v>
      </c>
    </row>
    <row r="344" spans="1:2">
      <c r="A344" s="4" t="s">
        <v>385</v>
      </c>
      <c r="B344" s="4">
        <v>234</v>
      </c>
    </row>
    <row r="345" spans="1:2">
      <c r="A345" s="4" t="s">
        <v>386</v>
      </c>
      <c r="B345" s="4">
        <v>269</v>
      </c>
    </row>
    <row r="346" spans="1:2">
      <c r="A346" s="4" t="s">
        <v>387</v>
      </c>
      <c r="B346" s="4">
        <v>10</v>
      </c>
    </row>
    <row r="347" spans="1:2">
      <c r="A347" s="5"/>
      <c r="B347" s="5"/>
    </row>
    <row r="348" spans="1:2">
      <c r="A348" s="4" t="s">
        <v>388</v>
      </c>
      <c r="B348" s="4">
        <v>742</v>
      </c>
    </row>
    <row r="349" spans="1:2">
      <c r="A349" s="4" t="s">
        <v>389</v>
      </c>
      <c r="B349" s="4">
        <v>822</v>
      </c>
    </row>
    <row r="350" spans="1:2">
      <c r="A350" s="4" t="s">
        <v>390</v>
      </c>
      <c r="B350" s="4">
        <v>883</v>
      </c>
    </row>
    <row r="351" spans="1:2">
      <c r="A351" s="4" t="s">
        <v>391</v>
      </c>
      <c r="B351" s="4">
        <v>1060</v>
      </c>
    </row>
    <row r="352" spans="1:2">
      <c r="A352" s="4" t="s">
        <v>392</v>
      </c>
      <c r="B352" s="4">
        <v>925</v>
      </c>
    </row>
    <row r="353" spans="1:2">
      <c r="A353" s="4" t="s">
        <v>393</v>
      </c>
      <c r="B353" s="4">
        <v>1203</v>
      </c>
    </row>
    <row r="354" spans="1:2">
      <c r="A354" s="4" t="s">
        <v>394</v>
      </c>
      <c r="B354" s="4">
        <v>1303</v>
      </c>
    </row>
    <row r="355" spans="1:2">
      <c r="A355" s="4" t="s">
        <v>395</v>
      </c>
      <c r="B355" s="4">
        <v>1404</v>
      </c>
    </row>
    <row r="356" spans="1:2">
      <c r="A356" s="4" t="s">
        <v>396</v>
      </c>
      <c r="B356" s="4">
        <v>1241</v>
      </c>
    </row>
    <row r="357" spans="1:2">
      <c r="A357" s="4" t="s">
        <v>397</v>
      </c>
      <c r="B357" s="4">
        <v>268</v>
      </c>
    </row>
    <row r="358" spans="1:2">
      <c r="A358" s="4" t="s">
        <v>398</v>
      </c>
      <c r="B358" s="4">
        <v>240</v>
      </c>
    </row>
    <row r="359" spans="1:2">
      <c r="A359" s="4" t="s">
        <v>399</v>
      </c>
      <c r="B359" s="4">
        <v>164</v>
      </c>
    </row>
    <row r="360" spans="1:2">
      <c r="A360" s="4" t="s">
        <v>400</v>
      </c>
      <c r="B360" s="4">
        <v>1059</v>
      </c>
    </row>
    <row r="361" spans="1:2">
      <c r="A361" s="4" t="s">
        <v>401</v>
      </c>
      <c r="B361" s="4">
        <v>1157</v>
      </c>
    </row>
    <row r="362" spans="1:2">
      <c r="A362" s="4" t="s">
        <v>402</v>
      </c>
      <c r="B362" s="4">
        <v>1202</v>
      </c>
    </row>
    <row r="363" spans="1:2">
      <c r="A363" s="4" t="s">
        <v>403</v>
      </c>
      <c r="B363" s="4">
        <v>1306</v>
      </c>
    </row>
    <row r="364" spans="1:2">
      <c r="A364" s="4" t="s">
        <v>404</v>
      </c>
      <c r="B364" s="4">
        <v>1346</v>
      </c>
    </row>
    <row r="365" spans="1:2">
      <c r="A365" s="4" t="s">
        <v>405</v>
      </c>
      <c r="B365" s="4">
        <v>1419</v>
      </c>
    </row>
    <row r="366" spans="1:2">
      <c r="A366" s="4" t="s">
        <v>406</v>
      </c>
      <c r="B366" s="4">
        <v>1490</v>
      </c>
    </row>
    <row r="367" spans="1:2">
      <c r="A367" s="4" t="s">
        <v>407</v>
      </c>
      <c r="B367" s="4">
        <v>1552</v>
      </c>
    </row>
    <row r="368" spans="1:2">
      <c r="A368" s="4" t="s">
        <v>408</v>
      </c>
      <c r="B368" s="4">
        <v>1620</v>
      </c>
    </row>
    <row r="369" spans="1:2">
      <c r="A369" s="4" t="s">
        <v>409</v>
      </c>
      <c r="B369" s="4">
        <v>1122</v>
      </c>
    </row>
    <row r="370" spans="1:2">
      <c r="A370" s="4" t="s">
        <v>410</v>
      </c>
      <c r="B370" s="4">
        <v>1211</v>
      </c>
    </row>
    <row r="371" spans="1:2">
      <c r="A371" s="4" t="s">
        <v>411</v>
      </c>
      <c r="B371" s="4">
        <v>492</v>
      </c>
    </row>
    <row r="372" spans="1:2">
      <c r="A372" s="4" t="s">
        <v>412</v>
      </c>
      <c r="B372" s="4">
        <v>545</v>
      </c>
    </row>
    <row r="373" spans="1:2">
      <c r="A373" s="4" t="s">
        <v>413</v>
      </c>
      <c r="B373" s="4">
        <v>616</v>
      </c>
    </row>
    <row r="374" spans="1:2">
      <c r="A374" s="4" t="s">
        <v>414</v>
      </c>
      <c r="B374" s="4">
        <v>670</v>
      </c>
    </row>
    <row r="375" spans="1:2">
      <c r="A375" s="4" t="s">
        <v>415</v>
      </c>
      <c r="B375" s="4">
        <v>732</v>
      </c>
    </row>
    <row r="376" spans="1:2">
      <c r="A376" s="4" t="s">
        <v>416</v>
      </c>
      <c r="B376" s="4">
        <v>817</v>
      </c>
    </row>
    <row r="377" spans="1:2">
      <c r="A377" s="4" t="s">
        <v>417</v>
      </c>
      <c r="B377" s="4">
        <v>875</v>
      </c>
    </row>
    <row r="378" spans="1:2">
      <c r="A378" s="4" t="s">
        <v>418</v>
      </c>
      <c r="B378" s="4">
        <v>937</v>
      </c>
    </row>
    <row r="379" spans="1:2">
      <c r="A379" s="4" t="s">
        <v>419</v>
      </c>
      <c r="B379" s="4">
        <v>991</v>
      </c>
    </row>
    <row r="380" spans="1:2">
      <c r="A380" s="4" t="s">
        <v>420</v>
      </c>
      <c r="B380" s="4">
        <v>1046</v>
      </c>
    </row>
    <row r="381" spans="1:2">
      <c r="A381" s="4" t="s">
        <v>421</v>
      </c>
      <c r="B381" s="4">
        <v>1109</v>
      </c>
    </row>
    <row r="382" spans="1:2">
      <c r="A382" s="4" t="s">
        <v>422</v>
      </c>
      <c r="B382" s="4">
        <v>1140</v>
      </c>
    </row>
    <row r="383" spans="1:2">
      <c r="A383" s="4" t="s">
        <v>423</v>
      </c>
      <c r="B383" s="4">
        <v>871</v>
      </c>
    </row>
    <row r="384" spans="1:2">
      <c r="A384" s="4" t="s">
        <v>424</v>
      </c>
      <c r="B384" s="4">
        <v>937</v>
      </c>
    </row>
    <row r="385" spans="1:2">
      <c r="A385" s="4" t="s">
        <v>425</v>
      </c>
      <c r="B385" s="4">
        <v>445</v>
      </c>
    </row>
    <row r="386" spans="1:2">
      <c r="A386" s="4" t="s">
        <v>426</v>
      </c>
      <c r="B386" s="4">
        <v>223</v>
      </c>
    </row>
    <row r="387" spans="1:2">
      <c r="A387" s="4" t="s">
        <v>427</v>
      </c>
      <c r="B387" s="4">
        <v>1383</v>
      </c>
    </row>
    <row r="388" spans="1:2">
      <c r="A388" s="4" t="s">
        <v>428</v>
      </c>
      <c r="B388" s="4">
        <v>1478</v>
      </c>
    </row>
    <row r="389" spans="1:2">
      <c r="A389" s="4" t="s">
        <v>429</v>
      </c>
      <c r="B389" s="4">
        <v>447</v>
      </c>
    </row>
    <row r="390" spans="1:2">
      <c r="A390" s="4" t="s">
        <v>430</v>
      </c>
      <c r="B390" s="4">
        <v>54</v>
      </c>
    </row>
    <row r="391" spans="1:2">
      <c r="A391" s="4" t="s">
        <v>431</v>
      </c>
      <c r="B391" s="4">
        <v>168</v>
      </c>
    </row>
    <row r="392" spans="1:2">
      <c r="A392" s="4" t="s">
        <v>432</v>
      </c>
      <c r="B392" s="4">
        <v>482</v>
      </c>
    </row>
    <row r="393" spans="1:2">
      <c r="A393" s="4" t="s">
        <v>433</v>
      </c>
      <c r="B393" s="4">
        <v>51</v>
      </c>
    </row>
    <row r="394" spans="1:2">
      <c r="A394" s="4" t="s">
        <v>434</v>
      </c>
      <c r="B394" s="4">
        <v>79</v>
      </c>
    </row>
    <row r="395" spans="1:2">
      <c r="A395" s="4" t="s">
        <v>435</v>
      </c>
      <c r="B395" s="4">
        <v>276</v>
      </c>
    </row>
    <row r="396" spans="1:2">
      <c r="A396" s="4" t="s">
        <v>436</v>
      </c>
      <c r="B396" s="4">
        <v>189</v>
      </c>
    </row>
    <row r="397" spans="1:2">
      <c r="A397" s="4" t="s">
        <v>437</v>
      </c>
      <c r="B397" s="4">
        <v>554</v>
      </c>
    </row>
    <row r="398" spans="1:2">
      <c r="A398" s="4" t="s">
        <v>438</v>
      </c>
      <c r="B398" s="4">
        <v>611</v>
      </c>
    </row>
    <row r="399" spans="1:2">
      <c r="A399" s="4" t="s">
        <v>439</v>
      </c>
      <c r="B399" s="4">
        <v>660</v>
      </c>
    </row>
    <row r="400" spans="1:2">
      <c r="A400" s="4" t="s">
        <v>440</v>
      </c>
      <c r="B400" s="4">
        <v>47</v>
      </c>
    </row>
    <row r="401" spans="1:2">
      <c r="A401" s="4" t="s">
        <v>441</v>
      </c>
      <c r="B401" s="4">
        <v>798</v>
      </c>
    </row>
    <row r="402" spans="1:2">
      <c r="A402" s="4" t="s">
        <v>442</v>
      </c>
      <c r="B402" s="4">
        <v>910</v>
      </c>
    </row>
    <row r="403" spans="1:2">
      <c r="A403" s="4" t="s">
        <v>443</v>
      </c>
      <c r="B403" s="4">
        <v>1013</v>
      </c>
    </row>
    <row r="404" spans="1:2">
      <c r="A404" s="4" t="s">
        <v>444</v>
      </c>
      <c r="B404" s="4">
        <v>1098</v>
      </c>
    </row>
    <row r="405" spans="1:2">
      <c r="A405" s="4" t="s">
        <v>445</v>
      </c>
      <c r="B405" s="4">
        <v>1141</v>
      </c>
    </row>
    <row r="406" spans="1:2">
      <c r="A406" s="4" t="s">
        <v>446</v>
      </c>
      <c r="B406" s="4">
        <v>347</v>
      </c>
    </row>
    <row r="407" spans="1:2">
      <c r="A407" s="4" t="s">
        <v>447</v>
      </c>
      <c r="B407" s="4">
        <v>397</v>
      </c>
    </row>
    <row r="408" spans="1:2">
      <c r="A408" s="4" t="s">
        <v>448</v>
      </c>
      <c r="B408" s="4">
        <v>394</v>
      </c>
    </row>
    <row r="409" spans="1:2">
      <c r="A409" s="4" t="s">
        <v>449</v>
      </c>
      <c r="B409" s="4">
        <v>450</v>
      </c>
    </row>
    <row r="410" spans="1:2">
      <c r="A410" s="4" t="s">
        <v>450</v>
      </c>
      <c r="B410" s="4">
        <v>749</v>
      </c>
    </row>
    <row r="411" spans="1:2">
      <c r="A411" s="4" t="s">
        <v>451</v>
      </c>
      <c r="B411" s="4">
        <v>450</v>
      </c>
    </row>
    <row r="412" spans="1:2">
      <c r="A412" s="4" t="s">
        <v>452</v>
      </c>
      <c r="B412" s="4">
        <v>519</v>
      </c>
    </row>
    <row r="413" spans="1:2">
      <c r="A413" s="4" t="s">
        <v>453</v>
      </c>
      <c r="B413" s="4">
        <v>900</v>
      </c>
    </row>
    <row r="414" spans="1:2">
      <c r="A414" s="4" t="s">
        <v>454</v>
      </c>
      <c r="B414" s="4">
        <v>499</v>
      </c>
    </row>
    <row r="415" spans="1:2">
      <c r="A415" s="4" t="s">
        <v>455</v>
      </c>
      <c r="B415" s="4">
        <v>567</v>
      </c>
    </row>
    <row r="416" spans="1:2">
      <c r="A416" s="4" t="s">
        <v>456</v>
      </c>
      <c r="B416" s="4">
        <v>996</v>
      </c>
    </row>
    <row r="417" spans="1:2">
      <c r="A417" s="4" t="s">
        <v>457</v>
      </c>
      <c r="B417" s="4">
        <v>562</v>
      </c>
    </row>
    <row r="418" spans="1:2">
      <c r="A418" s="4" t="s">
        <v>458</v>
      </c>
      <c r="B418" s="4">
        <v>628</v>
      </c>
    </row>
    <row r="419" spans="1:2">
      <c r="A419" s="4" t="s">
        <v>459</v>
      </c>
      <c r="B419" s="4">
        <v>1092</v>
      </c>
    </row>
    <row r="420" spans="1:2">
      <c r="A420" s="4" t="s">
        <v>460</v>
      </c>
      <c r="B420" s="4">
        <v>634</v>
      </c>
    </row>
    <row r="421" spans="1:2">
      <c r="A421" s="4" t="s">
        <v>461</v>
      </c>
      <c r="B421" s="4">
        <v>728</v>
      </c>
    </row>
    <row r="422" spans="1:2">
      <c r="A422" s="4" t="s">
        <v>462</v>
      </c>
      <c r="B422" s="4">
        <v>1341</v>
      </c>
    </row>
    <row r="423" spans="1:2">
      <c r="A423" s="4" t="s">
        <v>463</v>
      </c>
      <c r="B423" s="4">
        <v>687</v>
      </c>
    </row>
    <row r="424" spans="1:2">
      <c r="A424" s="4" t="s">
        <v>464</v>
      </c>
      <c r="B424" s="4">
        <v>788</v>
      </c>
    </row>
    <row r="425" spans="1:2">
      <c r="A425" s="4" t="s">
        <v>465</v>
      </c>
      <c r="B425" s="4">
        <v>1449</v>
      </c>
    </row>
    <row r="426" spans="1:2">
      <c r="A426" s="4" t="s">
        <v>466</v>
      </c>
      <c r="B426" s="4">
        <v>352</v>
      </c>
    </row>
    <row r="427" spans="1:2">
      <c r="A427" s="4" t="s">
        <v>467</v>
      </c>
      <c r="B427" s="4">
        <v>400</v>
      </c>
    </row>
    <row r="428" spans="1:2">
      <c r="A428" s="4" t="s">
        <v>468</v>
      </c>
      <c r="B428" s="4">
        <v>459</v>
      </c>
    </row>
    <row r="429" spans="1:2">
      <c r="A429" s="4" t="s">
        <v>469</v>
      </c>
      <c r="B429" s="4">
        <v>577</v>
      </c>
    </row>
    <row r="430" spans="1:2">
      <c r="A430" s="4" t="s">
        <v>470</v>
      </c>
      <c r="B430" s="4">
        <v>625</v>
      </c>
    </row>
    <row r="431" spans="1:2">
      <c r="A431" s="4" t="s">
        <v>471</v>
      </c>
      <c r="B431" s="4">
        <v>676</v>
      </c>
    </row>
    <row r="432" spans="1:2">
      <c r="A432" s="4" t="s">
        <v>472</v>
      </c>
      <c r="B432" s="4">
        <v>727</v>
      </c>
    </row>
    <row r="433" spans="1:2">
      <c r="A433" s="4" t="s">
        <v>473</v>
      </c>
      <c r="B433" s="4">
        <v>851</v>
      </c>
    </row>
    <row r="434" spans="1:2">
      <c r="A434" s="4" t="s">
        <v>474</v>
      </c>
      <c r="B434" s="4">
        <v>979</v>
      </c>
    </row>
    <row r="435" spans="1:2">
      <c r="A435" s="4" t="s">
        <v>475</v>
      </c>
      <c r="B435" s="4">
        <v>1549</v>
      </c>
    </row>
    <row r="436" spans="1:2">
      <c r="A436" s="4" t="s">
        <v>476</v>
      </c>
      <c r="B436" s="4">
        <v>501</v>
      </c>
    </row>
    <row r="437" spans="1:2">
      <c r="A437" s="4" t="s">
        <v>477</v>
      </c>
      <c r="B437" s="4">
        <v>548</v>
      </c>
    </row>
    <row r="438" spans="1:2">
      <c r="A438" s="4" t="s">
        <v>478</v>
      </c>
      <c r="B438" s="4">
        <v>623</v>
      </c>
    </row>
    <row r="439" spans="1:2">
      <c r="A439" s="4" t="s">
        <v>479</v>
      </c>
      <c r="B439" s="4">
        <v>268</v>
      </c>
    </row>
    <row r="440" spans="1:2">
      <c r="A440" s="4" t="s">
        <v>480</v>
      </c>
      <c r="B440" s="4">
        <v>293</v>
      </c>
    </row>
    <row r="441" spans="1:2">
      <c r="A441" s="4" t="s">
        <v>481</v>
      </c>
      <c r="B441" s="4">
        <v>327</v>
      </c>
    </row>
    <row r="442" spans="1:2">
      <c r="A442" s="4" t="s">
        <v>482</v>
      </c>
      <c r="B442" s="4">
        <v>774</v>
      </c>
    </row>
    <row r="443" spans="1:2">
      <c r="A443" s="4" t="s">
        <v>483</v>
      </c>
      <c r="B443" s="4">
        <v>1377</v>
      </c>
    </row>
    <row r="444" spans="1:2">
      <c r="A444" s="4" t="s">
        <v>484</v>
      </c>
      <c r="B444" s="4">
        <v>666</v>
      </c>
    </row>
    <row r="445" spans="1:2">
      <c r="A445" s="4" t="s">
        <v>485</v>
      </c>
      <c r="B445" s="4">
        <v>379</v>
      </c>
    </row>
    <row r="446" spans="1:2">
      <c r="A446" s="4" t="s">
        <v>486</v>
      </c>
      <c r="B446" s="4">
        <v>521</v>
      </c>
    </row>
    <row r="447" spans="1:2">
      <c r="A447" s="4" t="s">
        <v>487</v>
      </c>
      <c r="B447" s="4">
        <v>794</v>
      </c>
    </row>
    <row r="448" spans="1:2">
      <c r="A448" s="4" t="s">
        <v>488</v>
      </c>
      <c r="B448" s="4">
        <v>914</v>
      </c>
    </row>
    <row r="449" spans="1:2">
      <c r="A449" s="4" t="s">
        <v>489</v>
      </c>
      <c r="B449" s="4">
        <v>1685</v>
      </c>
    </row>
    <row r="450" spans="1:2">
      <c r="A450" s="4" t="s">
        <v>490</v>
      </c>
      <c r="B450" s="4">
        <v>514</v>
      </c>
    </row>
    <row r="451" spans="1:2">
      <c r="A451" s="4" t="s">
        <v>491</v>
      </c>
      <c r="B451" s="4">
        <v>601</v>
      </c>
    </row>
    <row r="452" spans="1:2">
      <c r="A452" s="4" t="s">
        <v>492</v>
      </c>
      <c r="B452" s="4">
        <v>712</v>
      </c>
    </row>
    <row r="453" spans="1:2">
      <c r="A453" s="4" t="s">
        <v>493</v>
      </c>
      <c r="B453" s="4">
        <v>735</v>
      </c>
    </row>
    <row r="454" spans="1:2">
      <c r="A454" s="4" t="s">
        <v>494</v>
      </c>
      <c r="B454" s="4">
        <v>935</v>
      </c>
    </row>
    <row r="455" spans="1:2">
      <c r="A455" s="4" t="s">
        <v>495</v>
      </c>
      <c r="B455" s="4">
        <v>997</v>
      </c>
    </row>
    <row r="456" spans="1:2">
      <c r="A456" s="4" t="s">
        <v>496</v>
      </c>
      <c r="B456" s="4">
        <v>1091</v>
      </c>
    </row>
    <row r="457" spans="1:2">
      <c r="A457" s="4" t="s">
        <v>497</v>
      </c>
      <c r="B457" s="4">
        <v>689</v>
      </c>
    </row>
    <row r="458" spans="1:2">
      <c r="A458" s="4" t="s">
        <v>498</v>
      </c>
      <c r="B458" s="4">
        <v>709</v>
      </c>
    </row>
    <row r="459" spans="1:2">
      <c r="A459" s="4" t="s">
        <v>499</v>
      </c>
      <c r="B459" s="4">
        <v>502</v>
      </c>
    </row>
    <row r="460" spans="1:2">
      <c r="A460" s="4" t="s">
        <v>500</v>
      </c>
      <c r="B460" s="4">
        <v>560</v>
      </c>
    </row>
    <row r="461" spans="1:2">
      <c r="A461" s="4" t="s">
        <v>501</v>
      </c>
      <c r="B461" s="4">
        <v>677</v>
      </c>
    </row>
    <row r="462" spans="1:2">
      <c r="A462" s="4" t="s">
        <v>502</v>
      </c>
      <c r="B462" s="4">
        <v>843</v>
      </c>
    </row>
    <row r="463" spans="1:2">
      <c r="A463" s="4" t="s">
        <v>503</v>
      </c>
      <c r="B463" s="4">
        <v>957</v>
      </c>
    </row>
    <row r="464" spans="1:2">
      <c r="A464" s="4" t="s">
        <v>504</v>
      </c>
      <c r="B464" s="4">
        <v>1106</v>
      </c>
    </row>
    <row r="465" spans="1:2">
      <c r="A465" s="4" t="s">
        <v>505</v>
      </c>
      <c r="B465" s="4">
        <v>1774</v>
      </c>
    </row>
    <row r="466" spans="1:2">
      <c r="A466" s="4" t="s">
        <v>506</v>
      </c>
      <c r="B466" s="4">
        <v>438</v>
      </c>
    </row>
    <row r="467" spans="1:2">
      <c r="A467" s="4" t="s">
        <v>507</v>
      </c>
      <c r="B467" s="4">
        <v>1067</v>
      </c>
    </row>
    <row r="468" spans="1:2">
      <c r="A468" s="4" t="s">
        <v>628</v>
      </c>
      <c r="B468" s="4">
        <v>1200</v>
      </c>
    </row>
    <row r="469" spans="1:2">
      <c r="A469" s="4" t="s">
        <v>508</v>
      </c>
      <c r="B469" s="4">
        <v>787</v>
      </c>
    </row>
    <row r="470" spans="1:2">
      <c r="A470" s="4" t="s">
        <v>509</v>
      </c>
      <c r="B470" s="4">
        <v>564</v>
      </c>
    </row>
    <row r="471" spans="1:2">
      <c r="A471" s="4" t="s">
        <v>510</v>
      </c>
      <c r="B471" s="4">
        <v>602</v>
      </c>
    </row>
    <row r="472" spans="1:2">
      <c r="A472" s="4" t="s">
        <v>511</v>
      </c>
      <c r="B472" s="4">
        <v>646</v>
      </c>
    </row>
    <row r="473" spans="1:2">
      <c r="A473" s="4" t="s">
        <v>512</v>
      </c>
      <c r="B473" s="4">
        <v>711</v>
      </c>
    </row>
    <row r="474" spans="1:2">
      <c r="A474" s="4" t="s">
        <v>513</v>
      </c>
      <c r="B474" s="4">
        <v>1278</v>
      </c>
    </row>
    <row r="475" spans="1:2">
      <c r="A475" s="4" t="s">
        <v>514</v>
      </c>
      <c r="B475" s="4">
        <v>746</v>
      </c>
    </row>
    <row r="476" spans="1:2">
      <c r="A476" s="4" t="s">
        <v>515</v>
      </c>
      <c r="B476" s="4">
        <v>841</v>
      </c>
    </row>
    <row r="477" spans="1:2">
      <c r="A477" s="4" t="s">
        <v>516</v>
      </c>
      <c r="B477" s="4">
        <v>799</v>
      </c>
    </row>
    <row r="478" spans="1:2">
      <c r="A478" s="4" t="s">
        <v>517</v>
      </c>
      <c r="B478" s="4">
        <v>894</v>
      </c>
    </row>
    <row r="479" spans="1:2">
      <c r="A479" s="4" t="s">
        <v>518</v>
      </c>
      <c r="B479" s="4">
        <v>866</v>
      </c>
    </row>
    <row r="480" spans="1:2">
      <c r="A480" s="4" t="s">
        <v>519</v>
      </c>
      <c r="B480" s="4">
        <v>955</v>
      </c>
    </row>
    <row r="481" spans="1:2">
      <c r="A481" s="4" t="s">
        <v>520</v>
      </c>
      <c r="B481" s="4">
        <v>1278</v>
      </c>
    </row>
    <row r="482" spans="1:2">
      <c r="A482" s="4" t="s">
        <v>521</v>
      </c>
      <c r="B482" s="4">
        <v>1388</v>
      </c>
    </row>
    <row r="483" spans="1:2">
      <c r="A483" s="4" t="s">
        <v>522</v>
      </c>
      <c r="B483" s="4">
        <v>1388</v>
      </c>
    </row>
    <row r="484" spans="1:2">
      <c r="A484" s="4" t="s">
        <v>523</v>
      </c>
      <c r="B484" s="4">
        <v>458</v>
      </c>
    </row>
    <row r="485" spans="1:2">
      <c r="A485" s="4" t="s">
        <v>524</v>
      </c>
      <c r="B485" s="4">
        <v>504</v>
      </c>
    </row>
    <row r="486" spans="1:2">
      <c r="A486" s="4" t="s">
        <v>525</v>
      </c>
      <c r="B486" s="4">
        <v>505</v>
      </c>
    </row>
    <row r="487" spans="1:2">
      <c r="A487" s="4" t="s">
        <v>526</v>
      </c>
      <c r="B487" s="4">
        <v>582</v>
      </c>
    </row>
    <row r="488" spans="1:2">
      <c r="A488" s="4" t="s">
        <v>527</v>
      </c>
      <c r="B488" s="4">
        <v>567</v>
      </c>
    </row>
    <row r="489" spans="1:2">
      <c r="A489" s="4" t="s">
        <v>528</v>
      </c>
      <c r="B489" s="4">
        <v>650</v>
      </c>
    </row>
    <row r="490" spans="1:2">
      <c r="A490" s="4" t="s">
        <v>529</v>
      </c>
      <c r="B490" s="4">
        <v>1013</v>
      </c>
    </row>
    <row r="491" spans="1:2">
      <c r="A491" s="4" t="s">
        <v>530</v>
      </c>
      <c r="B491" s="4">
        <v>1013</v>
      </c>
    </row>
    <row r="492" spans="1:2">
      <c r="A492" s="4" t="s">
        <v>531</v>
      </c>
      <c r="B492" s="4">
        <v>656</v>
      </c>
    </row>
    <row r="493" spans="1:2">
      <c r="A493" s="4" t="s">
        <v>532</v>
      </c>
      <c r="B493" s="4">
        <v>743</v>
      </c>
    </row>
    <row r="494" spans="1:2">
      <c r="A494" s="4" t="s">
        <v>533</v>
      </c>
      <c r="B494" s="4">
        <v>1169</v>
      </c>
    </row>
    <row r="495" spans="1:2">
      <c r="A495" s="4" t="s">
        <v>534</v>
      </c>
      <c r="B495" s="4">
        <v>1169</v>
      </c>
    </row>
    <row r="496" spans="1:2">
      <c r="A496" s="4" t="s">
        <v>535</v>
      </c>
      <c r="B496" s="4">
        <v>730</v>
      </c>
    </row>
    <row r="497" spans="1:2">
      <c r="A497" s="4" t="s">
        <v>536</v>
      </c>
      <c r="B497" s="4">
        <v>792</v>
      </c>
    </row>
    <row r="498" spans="1:2">
      <c r="A498" s="4" t="s">
        <v>537</v>
      </c>
      <c r="B498" s="4">
        <v>828</v>
      </c>
    </row>
    <row r="499" spans="1:2">
      <c r="A499" s="4" t="s">
        <v>538</v>
      </c>
      <c r="B499" s="4">
        <v>893</v>
      </c>
    </row>
    <row r="500" spans="1:2">
      <c r="A500" s="4" t="s">
        <v>539</v>
      </c>
      <c r="B500" s="4">
        <v>972</v>
      </c>
    </row>
    <row r="501" spans="1:2">
      <c r="A501" s="4" t="s">
        <v>540</v>
      </c>
      <c r="B501" s="4">
        <v>1036</v>
      </c>
    </row>
    <row r="502" spans="1:2">
      <c r="A502" s="4" t="s">
        <v>541</v>
      </c>
      <c r="B502" s="4">
        <v>726</v>
      </c>
    </row>
    <row r="503" spans="1:2">
      <c r="A503" s="4" t="s">
        <v>542</v>
      </c>
      <c r="B503" s="4">
        <v>810</v>
      </c>
    </row>
    <row r="504" spans="1:2">
      <c r="A504" s="4" t="s">
        <v>543</v>
      </c>
      <c r="B504" s="4">
        <v>759</v>
      </c>
    </row>
    <row r="505" spans="1:2">
      <c r="A505" s="4" t="s">
        <v>544</v>
      </c>
      <c r="B505" s="4">
        <v>842</v>
      </c>
    </row>
    <row r="506" spans="1:2">
      <c r="A506" s="4" t="s">
        <v>545</v>
      </c>
      <c r="B506" s="4">
        <v>979</v>
      </c>
    </row>
    <row r="507" spans="1:2">
      <c r="A507" s="4" t="s">
        <v>546</v>
      </c>
      <c r="B507" s="4">
        <v>873</v>
      </c>
    </row>
    <row r="508" spans="1:2">
      <c r="A508" s="4" t="s">
        <v>547</v>
      </c>
      <c r="B508" s="4">
        <v>930</v>
      </c>
    </row>
    <row r="509" spans="1:2">
      <c r="A509" s="4" t="s">
        <v>548</v>
      </c>
      <c r="B509" s="4">
        <v>1348</v>
      </c>
    </row>
    <row r="510" spans="1:2">
      <c r="A510" s="4" t="s">
        <v>549</v>
      </c>
      <c r="B510" s="4">
        <v>47</v>
      </c>
    </row>
    <row r="511" spans="1:2">
      <c r="A511" s="4" t="s">
        <v>550</v>
      </c>
      <c r="B511" s="4">
        <v>51</v>
      </c>
    </row>
    <row r="512" spans="1:2">
      <c r="A512" s="4" t="s">
        <v>551</v>
      </c>
      <c r="B512" s="4">
        <v>96</v>
      </c>
    </row>
    <row r="513" spans="1:2">
      <c r="A513" s="4" t="s">
        <v>552</v>
      </c>
      <c r="B513" s="4">
        <v>115</v>
      </c>
    </row>
    <row r="514" spans="1:2">
      <c r="A514" s="4" t="s">
        <v>553</v>
      </c>
      <c r="B514" s="4">
        <v>133</v>
      </c>
    </row>
    <row r="515" spans="1:2">
      <c r="A515" s="4" t="s">
        <v>554</v>
      </c>
      <c r="B515" s="4">
        <v>182</v>
      </c>
    </row>
    <row r="516" spans="1:2">
      <c r="A516" s="4" t="s">
        <v>555</v>
      </c>
      <c r="B516" s="4">
        <v>98</v>
      </c>
    </row>
    <row r="517" spans="1:2">
      <c r="A517" s="4" t="s">
        <v>556</v>
      </c>
      <c r="B517" s="4">
        <v>278</v>
      </c>
    </row>
    <row r="518" spans="1:2">
      <c r="A518" s="4" t="s">
        <v>557</v>
      </c>
      <c r="B518" s="4">
        <v>339</v>
      </c>
    </row>
    <row r="519" spans="1:2">
      <c r="A519" s="4" t="s">
        <v>558</v>
      </c>
      <c r="B519" s="4">
        <v>357</v>
      </c>
    </row>
    <row r="520" spans="1:2">
      <c r="A520" s="4" t="s">
        <v>559</v>
      </c>
      <c r="B520" s="4">
        <v>83</v>
      </c>
    </row>
    <row r="521" spans="1:2">
      <c r="A521" s="4" t="s">
        <v>560</v>
      </c>
      <c r="B521" s="4">
        <v>114</v>
      </c>
    </row>
    <row r="522" spans="1:2">
      <c r="A522" s="4" t="s">
        <v>561</v>
      </c>
      <c r="B522" s="4">
        <v>1705</v>
      </c>
    </row>
    <row r="523" spans="1:2">
      <c r="A523" s="4" t="s">
        <v>562</v>
      </c>
      <c r="B523" s="4">
        <v>1841</v>
      </c>
    </row>
    <row r="524" spans="1:2">
      <c r="A524" s="4" t="s">
        <v>563</v>
      </c>
      <c r="B524" s="4">
        <v>1356</v>
      </c>
    </row>
    <row r="525" spans="1:2">
      <c r="A525" s="4" t="s">
        <v>564</v>
      </c>
      <c r="B525" s="4">
        <v>1506</v>
      </c>
    </row>
    <row r="526" spans="1:2">
      <c r="A526" s="4" t="s">
        <v>565</v>
      </c>
      <c r="B526" s="4">
        <v>1834</v>
      </c>
    </row>
    <row r="527" spans="1:2">
      <c r="A527" s="4" t="s">
        <v>566</v>
      </c>
      <c r="B527" s="4">
        <v>1970</v>
      </c>
    </row>
    <row r="528" spans="1:2">
      <c r="A528" s="4" t="s">
        <v>567</v>
      </c>
      <c r="B528" s="4">
        <v>1773</v>
      </c>
    </row>
    <row r="529" spans="1:2">
      <c r="A529" s="4" t="s">
        <v>568</v>
      </c>
      <c r="B529" s="4">
        <v>1890</v>
      </c>
    </row>
    <row r="530" spans="1:2">
      <c r="A530" s="4" t="s">
        <v>569</v>
      </c>
      <c r="B530" s="4">
        <v>2084</v>
      </c>
    </row>
    <row r="531" spans="1:2">
      <c r="A531" s="4" t="s">
        <v>570</v>
      </c>
      <c r="B531" s="4">
        <v>2112</v>
      </c>
    </row>
    <row r="532" spans="1:2">
      <c r="A532" s="4" t="s">
        <v>571</v>
      </c>
      <c r="B532" s="4">
        <v>2102</v>
      </c>
    </row>
    <row r="533" spans="1:2">
      <c r="A533" s="4" t="s">
        <v>572</v>
      </c>
      <c r="B533" s="4">
        <v>2321</v>
      </c>
    </row>
    <row r="534" spans="1:2">
      <c r="A534" s="4" t="s">
        <v>573</v>
      </c>
      <c r="B534" s="4">
        <v>2345</v>
      </c>
    </row>
    <row r="535" spans="1:2">
      <c r="A535" s="4" t="s">
        <v>574</v>
      </c>
      <c r="B535" s="4">
        <v>2239</v>
      </c>
    </row>
    <row r="536" spans="1:2">
      <c r="A536" s="4" t="s">
        <v>575</v>
      </c>
      <c r="B536" s="4">
        <v>2179</v>
      </c>
    </row>
    <row r="537" spans="1:2">
      <c r="A537" s="4" t="s">
        <v>576</v>
      </c>
      <c r="B537" s="4">
        <v>2212</v>
      </c>
    </row>
    <row r="538" spans="1:2">
      <c r="A538" s="4" t="s">
        <v>577</v>
      </c>
      <c r="B538" s="4">
        <v>2407</v>
      </c>
    </row>
    <row r="539" spans="1:2">
      <c r="A539" s="4" t="s">
        <v>578</v>
      </c>
      <c r="B539" s="4">
        <v>2319</v>
      </c>
    </row>
    <row r="540" spans="1:2">
      <c r="A540" s="4" t="s">
        <v>579</v>
      </c>
      <c r="B540" s="4">
        <v>2381</v>
      </c>
    </row>
    <row r="541" spans="1:2">
      <c r="A541" s="4" t="s">
        <v>580</v>
      </c>
      <c r="B541" s="4">
        <v>3034</v>
      </c>
    </row>
    <row r="542" spans="1:2">
      <c r="A542" s="4" t="s">
        <v>581</v>
      </c>
      <c r="B542" s="4">
        <v>3262</v>
      </c>
    </row>
    <row r="543" spans="1:2">
      <c r="A543" s="4" t="s">
        <v>582</v>
      </c>
      <c r="B543" s="4">
        <v>3388</v>
      </c>
    </row>
    <row r="544" spans="1:2">
      <c r="A544" s="4" t="s">
        <v>583</v>
      </c>
      <c r="B544" s="4">
        <v>150</v>
      </c>
    </row>
    <row r="545" spans="1:2">
      <c r="A545" s="4" t="s">
        <v>584</v>
      </c>
      <c r="B545" s="4">
        <v>238</v>
      </c>
    </row>
    <row r="546" spans="1:2">
      <c r="A546" s="4" t="s">
        <v>585</v>
      </c>
      <c r="B546" s="4">
        <v>250</v>
      </c>
    </row>
    <row r="547" spans="1:2">
      <c r="A547" s="4" t="s">
        <v>586</v>
      </c>
      <c r="B547" s="4">
        <v>256</v>
      </c>
    </row>
    <row r="548" spans="1:2">
      <c r="A548" s="4" t="s">
        <v>587</v>
      </c>
      <c r="B548" s="4">
        <v>365</v>
      </c>
    </row>
    <row r="549" spans="1:2">
      <c r="A549" s="4" t="s">
        <v>588</v>
      </c>
      <c r="B549" s="4">
        <v>535</v>
      </c>
    </row>
    <row r="550" spans="1:2">
      <c r="A550" s="4" t="s">
        <v>589</v>
      </c>
      <c r="B550" s="4">
        <v>192</v>
      </c>
    </row>
    <row r="551" spans="1:2">
      <c r="A551" s="4" t="s">
        <v>590</v>
      </c>
      <c r="B551" s="4">
        <v>223</v>
      </c>
    </row>
    <row r="552" spans="1:2">
      <c r="A552" s="4" t="s">
        <v>591</v>
      </c>
      <c r="B552" s="4">
        <v>257</v>
      </c>
    </row>
    <row r="553" spans="1:2">
      <c r="A553" s="4" t="s">
        <v>592</v>
      </c>
      <c r="B553" s="4">
        <v>290</v>
      </c>
    </row>
    <row r="554" spans="1:2">
      <c r="A554" s="4" t="s">
        <v>593</v>
      </c>
      <c r="B554" s="4">
        <v>101</v>
      </c>
    </row>
    <row r="555" spans="1:2">
      <c r="A555" s="4" t="s">
        <v>594</v>
      </c>
      <c r="B555" s="4">
        <v>115</v>
      </c>
    </row>
    <row r="556" spans="1:2">
      <c r="A556" s="4" t="s">
        <v>595</v>
      </c>
      <c r="B556" s="4">
        <v>130</v>
      </c>
    </row>
    <row r="557" spans="1:2">
      <c r="A557" s="4" t="s">
        <v>596</v>
      </c>
      <c r="B557" s="4">
        <v>144</v>
      </c>
    </row>
    <row r="558" spans="1:2">
      <c r="A558" s="4" t="s">
        <v>597</v>
      </c>
      <c r="B558" s="4">
        <v>160</v>
      </c>
    </row>
    <row r="559" spans="1:2">
      <c r="A559" s="4" t="s">
        <v>598</v>
      </c>
      <c r="B559" s="4">
        <v>175</v>
      </c>
    </row>
    <row r="560" spans="1:2">
      <c r="A560" s="4" t="s">
        <v>599</v>
      </c>
      <c r="B560" s="4">
        <v>189</v>
      </c>
    </row>
    <row r="561" spans="1:2">
      <c r="A561" s="4" t="s">
        <v>600</v>
      </c>
      <c r="B561" s="4">
        <v>215</v>
      </c>
    </row>
    <row r="562" spans="1:2">
      <c r="A562" s="4" t="s">
        <v>601</v>
      </c>
      <c r="B562" s="4">
        <v>51</v>
      </c>
    </row>
    <row r="563" spans="1:2">
      <c r="A563" s="4" t="s">
        <v>602</v>
      </c>
      <c r="B563" s="4">
        <v>50</v>
      </c>
    </row>
    <row r="564" spans="1:2">
      <c r="A564" s="4" t="s">
        <v>601</v>
      </c>
      <c r="B564" s="4">
        <v>60</v>
      </c>
    </row>
    <row r="565" spans="1:2">
      <c r="A565" s="4" t="s">
        <v>603</v>
      </c>
      <c r="B565" s="4">
        <v>81</v>
      </c>
    </row>
    <row r="566" spans="1:2">
      <c r="A566" s="4" t="s">
        <v>604</v>
      </c>
      <c r="B566" s="4">
        <v>335</v>
      </c>
    </row>
    <row r="567" spans="1:2">
      <c r="A567" s="4" t="s">
        <v>605</v>
      </c>
      <c r="B567" s="4">
        <v>120</v>
      </c>
    </row>
    <row r="568" spans="1:2">
      <c r="A568" s="4" t="s">
        <v>606</v>
      </c>
      <c r="B568" s="4">
        <v>175</v>
      </c>
    </row>
    <row r="569" spans="1:2">
      <c r="A569" s="4" t="s">
        <v>607</v>
      </c>
      <c r="B569" s="4">
        <v>187</v>
      </c>
    </row>
    <row r="570" spans="1:2">
      <c r="A570" s="4" t="s">
        <v>608</v>
      </c>
      <c r="B570" s="4">
        <v>244</v>
      </c>
    </row>
    <row r="571" spans="1:2">
      <c r="A571" s="4" t="s">
        <v>609</v>
      </c>
      <c r="B571" s="4">
        <v>305</v>
      </c>
    </row>
    <row r="572" spans="1:2">
      <c r="A572" s="4" t="s">
        <v>610</v>
      </c>
      <c r="B572" s="4">
        <v>230</v>
      </c>
    </row>
    <row r="573" spans="1:2">
      <c r="A573" s="4" t="s">
        <v>611</v>
      </c>
      <c r="B573" s="4">
        <v>222</v>
      </c>
    </row>
    <row r="574" spans="1:2">
      <c r="A574" s="4" t="s">
        <v>612</v>
      </c>
      <c r="B574" s="4">
        <v>117</v>
      </c>
    </row>
    <row r="575" spans="1:2">
      <c r="A575" s="4" t="s">
        <v>613</v>
      </c>
      <c r="B575" s="4">
        <v>156</v>
      </c>
    </row>
    <row r="576" spans="1:2">
      <c r="A576" s="4" t="s">
        <v>614</v>
      </c>
      <c r="B576" s="4">
        <v>195</v>
      </c>
    </row>
    <row r="577" spans="1:2">
      <c r="A577" s="4" t="s">
        <v>615</v>
      </c>
      <c r="B577" s="4">
        <v>235</v>
      </c>
    </row>
    <row r="578" spans="1:2">
      <c r="A578" s="4" t="s">
        <v>616</v>
      </c>
      <c r="B578" s="4">
        <v>274</v>
      </c>
    </row>
    <row r="579" spans="1:2">
      <c r="A579" s="4" t="s">
        <v>617</v>
      </c>
      <c r="B579" s="4">
        <v>312</v>
      </c>
    </row>
    <row r="580" spans="1:2">
      <c r="A580" s="4" t="s">
        <v>618</v>
      </c>
      <c r="B580" s="4">
        <v>352</v>
      </c>
    </row>
    <row r="581" spans="1:2">
      <c r="A581" s="4" t="s">
        <v>619</v>
      </c>
      <c r="B581" s="4">
        <v>391</v>
      </c>
    </row>
    <row r="582" spans="1:2">
      <c r="A582" s="4" t="s">
        <v>620</v>
      </c>
      <c r="B582" s="4">
        <v>430</v>
      </c>
    </row>
    <row r="583" spans="1:2">
      <c r="A583" s="4" t="s">
        <v>13</v>
      </c>
      <c r="B583" s="4">
        <v>469</v>
      </c>
    </row>
    <row r="584" spans="1:2">
      <c r="A584" s="4" t="s">
        <v>621</v>
      </c>
      <c r="B584" s="4">
        <v>230</v>
      </c>
    </row>
    <row r="585" spans="1:2">
      <c r="A585" s="4" t="s">
        <v>622</v>
      </c>
      <c r="B585" s="4">
        <v>176</v>
      </c>
    </row>
    <row r="586" spans="1:2">
      <c r="A586" s="4" t="s">
        <v>623</v>
      </c>
      <c r="B586" s="4">
        <v>267</v>
      </c>
    </row>
    <row r="587" spans="1:2">
      <c r="A587" s="4" t="s">
        <v>624</v>
      </c>
      <c r="B587" s="4">
        <v>307</v>
      </c>
    </row>
    <row r="588" spans="1:2">
      <c r="A588" s="4" t="s">
        <v>625</v>
      </c>
      <c r="B588" s="4">
        <v>10</v>
      </c>
    </row>
    <row r="589" spans="1:2">
      <c r="A589" s="4" t="s">
        <v>626</v>
      </c>
      <c r="B589" s="4">
        <v>37</v>
      </c>
    </row>
    <row r="590" spans="1:2">
      <c r="A590" s="4" t="s">
        <v>627</v>
      </c>
      <c r="B590" s="4">
        <v>37</v>
      </c>
    </row>
    <row r="591" spans="1:2">
      <c r="A591" s="4" t="s">
        <v>34</v>
      </c>
      <c r="B591" s="4">
        <v>37</v>
      </c>
    </row>
  </sheetData>
  <autoFilter ref="A1:B591" xr:uid="{00000000-0001-0000-0100-000000000000}"/>
  <conditionalFormatting sqref="A592:A1048576 A1 A109 A347">
    <cfRule type="duplicateValues" dxfId="1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E9231-A42D-434F-81C2-23C353D50F66}">
  <dimension ref="A1:O245"/>
  <sheetViews>
    <sheetView tabSelected="1" zoomScaleNormal="100" workbookViewId="0">
      <pane ySplit="1" topLeftCell="A2" activePane="bottomLeft" state="frozen"/>
      <selection pane="bottomLeft" activeCell="C15" sqref="C15"/>
    </sheetView>
  </sheetViews>
  <sheetFormatPr defaultRowHeight="15"/>
  <cols>
    <col min="1" max="1" width="27" customWidth="1"/>
    <col min="2" max="2" width="19.7109375" style="66" customWidth="1"/>
    <col min="3" max="3" width="26" style="66" bestFit="1" customWidth="1"/>
    <col min="4" max="4" width="26" style="140" bestFit="1" customWidth="1"/>
    <col min="5" max="5" width="22.28515625" customWidth="1"/>
    <col min="6" max="6" width="30.85546875" customWidth="1"/>
    <col min="7" max="7" width="29" customWidth="1"/>
    <col min="8" max="8" width="22.28515625" customWidth="1"/>
    <col min="9" max="10" width="11.140625" customWidth="1"/>
    <col min="11" max="13" width="18.85546875" customWidth="1"/>
    <col min="14" max="15" width="19.28515625" customWidth="1"/>
  </cols>
  <sheetData>
    <row r="1" spans="1:15" s="64" customFormat="1">
      <c r="A1" s="63" t="s">
        <v>696</v>
      </c>
      <c r="B1" s="137" t="s">
        <v>766</v>
      </c>
      <c r="C1" s="137" t="s">
        <v>767</v>
      </c>
      <c r="D1" s="139" t="s">
        <v>768</v>
      </c>
      <c r="E1" s="64" t="s">
        <v>8</v>
      </c>
      <c r="F1" s="64" t="s">
        <v>669</v>
      </c>
      <c r="G1" s="64" t="s">
        <v>705</v>
      </c>
      <c r="H1" s="76" t="s">
        <v>745</v>
      </c>
      <c r="I1" s="76" t="s">
        <v>761</v>
      </c>
      <c r="J1" s="76" t="s">
        <v>762</v>
      </c>
      <c r="K1" s="64" t="s">
        <v>739</v>
      </c>
      <c r="L1" s="64" t="s">
        <v>740</v>
      </c>
      <c r="M1" s="64" t="s">
        <v>741</v>
      </c>
      <c r="N1" s="64" t="s">
        <v>701</v>
      </c>
      <c r="O1" s="64" t="s">
        <v>700</v>
      </c>
    </row>
    <row r="2" spans="1:15">
      <c r="A2" t="s">
        <v>627</v>
      </c>
      <c r="B2" s="65">
        <v>37</v>
      </c>
      <c r="C2" s="138">
        <f>B2*0.3</f>
        <v>11.1</v>
      </c>
      <c r="D2" s="138"/>
      <c r="E2" t="str">
        <f t="shared" ref="E2:E65" si="0">_xlfn.TEXTAFTER(A2,"-")</f>
        <v>Garbage Bin</v>
      </c>
      <c r="F2" t="str" cm="1">
        <f t="array" ref="F2">_xlfn.LET(
_xlpm.p,E2,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Accessories</v>
      </c>
      <c r="G2" t="str" cm="1">
        <f t="array" ref="G2">_xlfn.LET(
_xlpm.p,E2,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Plastic Garbage Bin</v>
      </c>
      <c r="H2" s="75" t="s">
        <v>743</v>
      </c>
      <c r="I2" s="82" cm="1">
        <f t="array" ref="I2">_xlfn.LET(
_xlpm.p,E2,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0</v>
      </c>
      <c r="J2" s="82"/>
      <c r="K2" s="75" t="s">
        <v>743</v>
      </c>
      <c r="L2" s="75" t="s">
        <v>743</v>
      </c>
      <c r="M2" s="75" t="s">
        <v>743</v>
      </c>
      <c r="N2">
        <v>1</v>
      </c>
      <c r="O2">
        <v>1</v>
      </c>
    </row>
    <row r="3" spans="1:15">
      <c r="A3" t="s">
        <v>625</v>
      </c>
      <c r="B3" s="65">
        <v>10</v>
      </c>
      <c r="C3" s="138">
        <f t="shared" ref="C3:C66" si="1">B3*0.3</f>
        <v>3</v>
      </c>
      <c r="D3" s="138"/>
      <c r="E3" t="str">
        <f t="shared" si="0"/>
        <v>美式铰链</v>
      </c>
      <c r="F3" t="str" cm="1">
        <f t="array" ref="F3">_xlfn.LET(
_xlpm.p,E3,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American Style Hinge</v>
      </c>
      <c r="G3" cm="1">
        <f t="array" ref="G3">_xlfn.LET(
_xlpm.p,E3,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3" s="82" t="str" cm="1">
        <f t="array" ref="I3">_xlfn.LET(
_xlpm.p,E3,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3" s="82"/>
      <c r="N3">
        <v>1</v>
      </c>
      <c r="O3">
        <v>1</v>
      </c>
    </row>
    <row r="4" spans="1:15">
      <c r="A4" t="s">
        <v>388</v>
      </c>
      <c r="B4" s="141">
        <v>742</v>
      </c>
      <c r="C4" s="138">
        <f>B4*0.3</f>
        <v>222.6</v>
      </c>
      <c r="D4" s="138">
        <f>C4*1.13</f>
        <v>251.53799999999998</v>
      </c>
      <c r="E4" t="str">
        <f t="shared" si="0"/>
        <v>B12</v>
      </c>
      <c r="F4" t="str" cm="1">
        <f t="array" ref="F4">_xlfn.LET(
_xlpm.p,E4,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Code'!B:B,""),
IF(OR(RIGHT(_xlpm.p,5)="-Door",RIGHT(_xlpm.p,6)="-DOORS"),_xlpm.productType&amp;" - Door",_xlpm.productType)
)</f>
        <v>Base Cabinet</v>
      </c>
      <c r="G4" t="str" cm="1">
        <f t="array" ref="G4">_xlfn.LET(
_xlpm.p,E4,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4" s="75" t="s">
        <v>744</v>
      </c>
      <c r="I4" s="82" t="str" cm="1">
        <f t="array" ref="I4">_xlfn.LET(
_xlpm.p,E4,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4" s="68" t="s">
        <v>758</v>
      </c>
      <c r="K4">
        <v>12</v>
      </c>
      <c r="L4">
        <v>34.5</v>
      </c>
      <c r="M4">
        <v>24</v>
      </c>
      <c r="N4">
        <v>1</v>
      </c>
      <c r="O4">
        <v>1</v>
      </c>
    </row>
    <row r="5" spans="1:15">
      <c r="A5" t="s">
        <v>389</v>
      </c>
      <c r="B5" s="65">
        <v>822</v>
      </c>
      <c r="C5" s="138">
        <f t="shared" si="1"/>
        <v>246.6</v>
      </c>
      <c r="D5" s="138">
        <f t="shared" ref="D5:D29" si="2">C5*1.13</f>
        <v>278.65799999999996</v>
      </c>
      <c r="E5" t="str">
        <f t="shared" si="0"/>
        <v>B15</v>
      </c>
      <c r="F5" t="str" cm="1">
        <f t="array" ref="F5">_xlfn.LET(
_xlpm.p,E5,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Code'!B:B,""),
IF(OR(RIGHT(_xlpm.p,5)="-Door",RIGHT(_xlpm.p,6)="-DOORS"),_xlpm.productType&amp;" - Door",_xlpm.productType)
)</f>
        <v>Base Cabinet</v>
      </c>
      <c r="G5" t="str" cm="1">
        <f t="array" ref="G5">_xlfn.LET(
_xlpm.p,E5,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5" s="75" t="s">
        <v>744</v>
      </c>
      <c r="I5" s="82" t="str" cm="1">
        <f t="array" ref="I5">_xlfn.LET(
_xlpm.p,E5,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5" s="68" t="s">
        <v>758</v>
      </c>
      <c r="K5">
        <v>15</v>
      </c>
      <c r="L5">
        <v>34.5</v>
      </c>
      <c r="M5">
        <v>24</v>
      </c>
      <c r="N5">
        <v>0</v>
      </c>
      <c r="O5">
        <v>1</v>
      </c>
    </row>
    <row r="6" spans="1:15">
      <c r="A6" t="s">
        <v>390</v>
      </c>
      <c r="B6" s="65">
        <v>883</v>
      </c>
      <c r="C6" s="138">
        <f t="shared" si="1"/>
        <v>264.89999999999998</v>
      </c>
      <c r="D6" s="138">
        <f t="shared" si="2"/>
        <v>299.33699999999993</v>
      </c>
      <c r="E6" t="str">
        <f t="shared" si="0"/>
        <v>B18</v>
      </c>
      <c r="F6" t="str" cm="1">
        <f t="array" ref="F6">_xlfn.LET(
_xlpm.p,E6,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Code'!B:B,""),
IF(OR(RIGHT(_xlpm.p,5)="-Door",RIGHT(_xlpm.p,6)="-DOORS"),_xlpm.productType&amp;" - Door",_xlpm.productType)
)</f>
        <v>Base Cabinet</v>
      </c>
      <c r="G6" t="str" cm="1">
        <f t="array" ref="G6">_xlfn.LET(
_xlpm.p,E6,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6" s="75" t="s">
        <v>744</v>
      </c>
      <c r="I6" s="82" t="str" cm="1">
        <f t="array" ref="I6">_xlfn.LET(
_xlpm.p,E6,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6" s="68" t="s">
        <v>758</v>
      </c>
      <c r="K6">
        <v>18</v>
      </c>
      <c r="L6">
        <v>34.5</v>
      </c>
      <c r="M6">
        <v>24</v>
      </c>
      <c r="N6">
        <v>1</v>
      </c>
      <c r="O6">
        <v>1</v>
      </c>
    </row>
    <row r="7" spans="1:15">
      <c r="A7" t="s">
        <v>391</v>
      </c>
      <c r="B7" s="65">
        <v>1060</v>
      </c>
      <c r="C7" s="138">
        <f t="shared" si="1"/>
        <v>318</v>
      </c>
      <c r="D7" s="138">
        <f t="shared" si="2"/>
        <v>359.34</v>
      </c>
      <c r="E7" t="str">
        <f t="shared" si="0"/>
        <v>B18-PO</v>
      </c>
      <c r="F7" t="str" cm="1">
        <f t="array" ref="F7">_xlfn.LET(
_xlpm.p,E7,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Code'!B:B,""),
IF(OR(RIGHT(_xlpm.p,5)="-Door",RIGHT(_xlpm.p,6)="-DOORS"),_xlpm.productType&amp;" - Door",_xlpm.productType)
)</f>
        <v>Base Cabinet</v>
      </c>
      <c r="G7" t="str" cm="1">
        <f t="array" ref="G7">_xlfn.LET(
_xlpm.p,E7,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 - Pull-Out</v>
      </c>
      <c r="H7" s="80" t="s">
        <v>759</v>
      </c>
      <c r="I7" s="82" t="str" cm="1">
        <f t="array" ref="I7">_xlfn.LET(
_xlpm.p,E7,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7" s="68" t="s">
        <v>758</v>
      </c>
      <c r="K7">
        <v>18</v>
      </c>
      <c r="L7">
        <v>34.5</v>
      </c>
      <c r="M7">
        <v>24</v>
      </c>
      <c r="N7">
        <v>1</v>
      </c>
      <c r="O7">
        <v>1</v>
      </c>
    </row>
    <row r="8" spans="1:15">
      <c r="A8" t="s">
        <v>392</v>
      </c>
      <c r="B8" s="65">
        <v>925</v>
      </c>
      <c r="C8" s="138">
        <f t="shared" si="1"/>
        <v>277.5</v>
      </c>
      <c r="D8" s="138">
        <f t="shared" si="2"/>
        <v>313.57499999999999</v>
      </c>
      <c r="E8" t="str">
        <f t="shared" si="0"/>
        <v>B21</v>
      </c>
      <c r="F8" t="str" cm="1">
        <f t="array" ref="F8">_xlfn.LET(
_xlpm.p,E8,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Code'!B:B,""),
IF(OR(RIGHT(_xlpm.p,5)="-Door",RIGHT(_xlpm.p,6)="-DOORS"),_xlpm.productType&amp;" - Door",_xlpm.productType)
)</f>
        <v>Base Cabinet</v>
      </c>
      <c r="G8" t="str" cm="1">
        <f t="array" ref="G8">_xlfn.LET(
_xlpm.p,E8,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8" s="75" t="s">
        <v>744</v>
      </c>
      <c r="I8" s="82" t="str" cm="1">
        <f t="array" ref="I8">_xlfn.LET(
_xlpm.p,E8,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8" s="68" t="s">
        <v>758</v>
      </c>
      <c r="K8">
        <v>21</v>
      </c>
      <c r="L8">
        <v>34.5</v>
      </c>
      <c r="M8">
        <v>24</v>
      </c>
      <c r="N8">
        <v>1</v>
      </c>
      <c r="O8">
        <v>1</v>
      </c>
    </row>
    <row r="9" spans="1:15">
      <c r="A9" t="s">
        <v>393</v>
      </c>
      <c r="B9" s="65">
        <v>1203</v>
      </c>
      <c r="C9" s="138">
        <f t="shared" si="1"/>
        <v>360.9</v>
      </c>
      <c r="D9" s="138">
        <f t="shared" si="2"/>
        <v>407.81699999999995</v>
      </c>
      <c r="E9" t="str">
        <f t="shared" si="0"/>
        <v>BBC42</v>
      </c>
      <c r="F9" t="str" cm="1">
        <f t="array" ref="F9">_xlfn.LET(
_xlpm.p,E9,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Code'!B:B,""),
IF(OR(RIGHT(_xlpm.p,5)="-Door",RIGHT(_xlpm.p,6)="-DOORS"),_xlpm.productType&amp;" - Door",_xlpm.productType)
)</f>
        <v>Base Cabinet</v>
      </c>
      <c r="G9" t="str" cm="1">
        <f t="array" ref="G9">_xlfn.LET(
_xlpm.p,E9,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Blind Corner</v>
      </c>
      <c r="H9" s="75" t="s">
        <v>744</v>
      </c>
      <c r="I9" s="82" t="str" cm="1">
        <f t="array" ref="I9">_xlfn.LET(
_xlpm.p,E9,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9" s="68" t="s">
        <v>758</v>
      </c>
      <c r="K9">
        <v>42</v>
      </c>
      <c r="L9">
        <v>34.5</v>
      </c>
      <c r="M9">
        <v>24</v>
      </c>
      <c r="N9">
        <v>1</v>
      </c>
      <c r="O9">
        <v>1</v>
      </c>
    </row>
    <row r="10" spans="1:15">
      <c r="A10" t="s">
        <v>394</v>
      </c>
      <c r="B10" s="65">
        <v>1303</v>
      </c>
      <c r="C10" s="138">
        <f t="shared" si="1"/>
        <v>390.9</v>
      </c>
      <c r="D10" s="138">
        <f t="shared" si="2"/>
        <v>441.71699999999993</v>
      </c>
      <c r="E10" t="str">
        <f t="shared" si="0"/>
        <v>BBC45</v>
      </c>
      <c r="F10" t="str" cm="1">
        <f t="array" ref="F10">_xlfn.LET(
_xlpm.p,E10,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Code'!B:B,""),
IF(OR(RIGHT(_xlpm.p,5)="-Door",RIGHT(_xlpm.p,6)="-DOORS"),_xlpm.productType&amp;" - Door",_xlpm.productType)
)</f>
        <v>Base Cabinet</v>
      </c>
      <c r="G10" t="str" cm="1">
        <f t="array" ref="G10">_xlfn.LET(
_xlpm.p,E10,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Blind Corner</v>
      </c>
      <c r="H10" s="75" t="s">
        <v>744</v>
      </c>
      <c r="I10" s="82" t="str" cm="1">
        <f t="array" ref="I10">_xlfn.LET(
_xlpm.p,E10,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0" s="68" t="s">
        <v>758</v>
      </c>
      <c r="K10">
        <v>45</v>
      </c>
      <c r="L10">
        <v>34.5</v>
      </c>
      <c r="M10">
        <v>24</v>
      </c>
      <c r="N10">
        <f t="shared" ref="N10:N47" si="3">IF(ISNUMBER(SEARCH("Cabinet",F10))=FALSE,"N/A",IF(K10&gt;=24,2,1))</f>
        <v>2</v>
      </c>
      <c r="O10">
        <f t="shared" ref="O10:O47" si="4">IF(ISNUMBER(SEARCH("Cabinet",F10))=FALSE,"N/A",
    IF(ISNUMBER(SEARCH("DB",E10)),
        IF(ISNUMBER(SEARCH("-2",E10)),2,3),
        IF(ISNUMBER(SEARCH("-PO",E10)),1,
            IF(LEFT(E10,1)="B",1,0)
        )
    )
)</f>
        <v>1</v>
      </c>
    </row>
    <row r="11" spans="1:15">
      <c r="A11" t="s">
        <v>395</v>
      </c>
      <c r="B11" s="65">
        <v>1404</v>
      </c>
      <c r="C11" s="138">
        <f t="shared" si="1"/>
        <v>421.2</v>
      </c>
      <c r="D11" s="138">
        <f t="shared" si="2"/>
        <v>475.95599999999996</v>
      </c>
      <c r="E11" t="str">
        <f t="shared" si="0"/>
        <v>BBC48</v>
      </c>
      <c r="F11" t="str" cm="1">
        <f t="array" ref="F11">_xlfn.LET(
_xlpm.p,E11,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Code'!B:B,""),
IF(OR(RIGHT(_xlpm.p,5)="-Door",RIGHT(_xlpm.p,6)="-DOORS"),_xlpm.productType&amp;" - Door",_xlpm.productType)
)</f>
        <v>Base Cabinet</v>
      </c>
      <c r="G11" t="str" cm="1">
        <f t="array" ref="G11">_xlfn.LET(
_xlpm.p,E11,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Blind Corner</v>
      </c>
      <c r="H11" s="75" t="s">
        <v>744</v>
      </c>
      <c r="I11" s="82" t="str" cm="1">
        <f t="array" ref="I11">_xlfn.LET(
_xlpm.p,E11,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1" s="68" t="s">
        <v>758</v>
      </c>
      <c r="K11">
        <v>48</v>
      </c>
      <c r="L11">
        <v>34.5</v>
      </c>
      <c r="M11">
        <v>24</v>
      </c>
      <c r="N11">
        <f t="shared" si="3"/>
        <v>2</v>
      </c>
      <c r="O11">
        <f t="shared" si="4"/>
        <v>1</v>
      </c>
    </row>
    <row r="12" spans="1:15">
      <c r="A12" t="s">
        <v>400</v>
      </c>
      <c r="B12" s="65">
        <v>1059</v>
      </c>
      <c r="C12" s="138">
        <f t="shared" si="1"/>
        <v>317.7</v>
      </c>
      <c r="D12" s="138">
        <f t="shared" si="2"/>
        <v>359.00099999999998</v>
      </c>
      <c r="E12" t="str">
        <f t="shared" si="0"/>
        <v>DB12</v>
      </c>
      <c r="F12" t="str" cm="1">
        <f t="array" ref="F12">_xlfn.LET(
_xlpm.p,E12,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12" s="60" t="s">
        <v>700</v>
      </c>
      <c r="H12" s="75" t="s">
        <v>744</v>
      </c>
      <c r="I12" s="82" t="str" cm="1">
        <f t="array" ref="I12">_xlfn.LET(
_xlpm.p,E12,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2" s="68" t="s">
        <v>758</v>
      </c>
      <c r="K12">
        <v>12</v>
      </c>
      <c r="L12">
        <v>34.5</v>
      </c>
      <c r="M12">
        <v>24</v>
      </c>
      <c r="N12">
        <f t="shared" si="3"/>
        <v>1</v>
      </c>
      <c r="O12">
        <f t="shared" si="4"/>
        <v>3</v>
      </c>
    </row>
    <row r="13" spans="1:15">
      <c r="A13" t="s">
        <v>401</v>
      </c>
      <c r="B13" s="65">
        <v>1157</v>
      </c>
      <c r="C13" s="138">
        <f t="shared" si="1"/>
        <v>347.09999999999997</v>
      </c>
      <c r="D13" s="138">
        <f t="shared" si="2"/>
        <v>392.2229999999999</v>
      </c>
      <c r="E13" t="str">
        <f t="shared" si="0"/>
        <v>DB15</v>
      </c>
      <c r="F13" t="str" cm="1">
        <f t="array" ref="F13">_xlfn.LET(
_xlpm.p,E13,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13" s="60" t="s">
        <v>700</v>
      </c>
      <c r="H13" s="75" t="s">
        <v>744</v>
      </c>
      <c r="I13" s="82" t="str" cm="1">
        <f t="array" ref="I13">_xlfn.LET(
_xlpm.p,E13,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3" s="68" t="s">
        <v>758</v>
      </c>
      <c r="K13">
        <v>15</v>
      </c>
      <c r="L13">
        <v>34.5</v>
      </c>
      <c r="M13">
        <v>24</v>
      </c>
      <c r="N13">
        <f t="shared" si="3"/>
        <v>1</v>
      </c>
      <c r="O13">
        <f t="shared" si="4"/>
        <v>3</v>
      </c>
    </row>
    <row r="14" spans="1:15">
      <c r="A14" t="s">
        <v>402</v>
      </c>
      <c r="B14" s="65">
        <v>1202</v>
      </c>
      <c r="C14" s="138">
        <f t="shared" si="1"/>
        <v>360.59999999999997</v>
      </c>
      <c r="D14" s="138">
        <f t="shared" si="2"/>
        <v>407.47799999999989</v>
      </c>
      <c r="E14" t="str">
        <f t="shared" si="0"/>
        <v>DB18</v>
      </c>
      <c r="F14" t="str" cm="1">
        <f t="array" ref="F14">_xlfn.LET(
_xlpm.p,E14,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14" s="60" t="s">
        <v>700</v>
      </c>
      <c r="H14" s="75" t="s">
        <v>744</v>
      </c>
      <c r="I14" s="82" t="str" cm="1">
        <f t="array" ref="I14">_xlfn.LET(
_xlpm.p,E14,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4" s="68" t="s">
        <v>758</v>
      </c>
      <c r="K14">
        <v>18</v>
      </c>
      <c r="L14">
        <v>34.5</v>
      </c>
      <c r="M14">
        <v>24</v>
      </c>
      <c r="N14">
        <f t="shared" si="3"/>
        <v>1</v>
      </c>
      <c r="O14">
        <f t="shared" si="4"/>
        <v>3</v>
      </c>
    </row>
    <row r="15" spans="1:15">
      <c r="A15" t="s">
        <v>403</v>
      </c>
      <c r="B15" s="65">
        <v>1306</v>
      </c>
      <c r="C15" s="138">
        <f t="shared" si="1"/>
        <v>391.8</v>
      </c>
      <c r="D15" s="138">
        <f t="shared" si="2"/>
        <v>442.73399999999998</v>
      </c>
      <c r="E15" t="str">
        <f t="shared" si="0"/>
        <v>DB21</v>
      </c>
      <c r="F15" t="str" cm="1">
        <f t="array" ref="F15">_xlfn.LET(
_xlpm.p,E15,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15" s="60" t="s">
        <v>700</v>
      </c>
      <c r="H15" s="75" t="s">
        <v>744</v>
      </c>
      <c r="I15" s="82" t="str" cm="1">
        <f t="array" ref="I15">_xlfn.LET(
_xlpm.p,E15,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5" s="68" t="s">
        <v>758</v>
      </c>
      <c r="K15">
        <v>21</v>
      </c>
      <c r="L15">
        <v>34.5</v>
      </c>
      <c r="M15">
        <v>24</v>
      </c>
      <c r="N15">
        <f t="shared" si="3"/>
        <v>1</v>
      </c>
      <c r="O15">
        <f t="shared" si="4"/>
        <v>3</v>
      </c>
    </row>
    <row r="16" spans="1:15">
      <c r="A16" t="s">
        <v>404</v>
      </c>
      <c r="B16" s="65">
        <v>1346</v>
      </c>
      <c r="C16" s="138">
        <f t="shared" si="1"/>
        <v>403.8</v>
      </c>
      <c r="D16" s="138">
        <f t="shared" si="2"/>
        <v>456.29399999999998</v>
      </c>
      <c r="E16" t="str">
        <f t="shared" si="0"/>
        <v>DB24</v>
      </c>
      <c r="F16" t="str" cm="1">
        <f t="array" ref="F16">_xlfn.LET(
_xlpm.p,E16,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16" s="60" t="s">
        <v>700</v>
      </c>
      <c r="H16" s="75" t="s">
        <v>744</v>
      </c>
      <c r="I16" s="82" t="str" cm="1">
        <f t="array" ref="I16">_xlfn.LET(
_xlpm.p,E16,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6" s="68" t="s">
        <v>758</v>
      </c>
      <c r="K16">
        <v>24</v>
      </c>
      <c r="L16">
        <v>34.5</v>
      </c>
      <c r="M16">
        <v>24</v>
      </c>
      <c r="N16">
        <f t="shared" si="3"/>
        <v>2</v>
      </c>
      <c r="O16">
        <f t="shared" si="4"/>
        <v>3</v>
      </c>
    </row>
    <row r="17" spans="1:15">
      <c r="A17" t="s">
        <v>405</v>
      </c>
      <c r="B17" s="65">
        <v>1419</v>
      </c>
      <c r="C17" s="138">
        <f t="shared" si="1"/>
        <v>425.7</v>
      </c>
      <c r="D17" s="138">
        <f t="shared" si="2"/>
        <v>481.04099999999994</v>
      </c>
      <c r="E17" t="str">
        <f t="shared" si="0"/>
        <v>DB27</v>
      </c>
      <c r="F17" t="str" cm="1">
        <f t="array" ref="F17">_xlfn.LET(
_xlpm.p,E17,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17" s="60" t="s">
        <v>700</v>
      </c>
      <c r="H17" s="75" t="s">
        <v>744</v>
      </c>
      <c r="I17" s="82" t="str" cm="1">
        <f t="array" ref="I17">_xlfn.LET(
_xlpm.p,E17,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7" s="68" t="s">
        <v>758</v>
      </c>
      <c r="K17">
        <v>27</v>
      </c>
      <c r="L17">
        <v>34.5</v>
      </c>
      <c r="M17">
        <v>24</v>
      </c>
      <c r="N17">
        <f t="shared" si="3"/>
        <v>2</v>
      </c>
      <c r="O17">
        <f t="shared" si="4"/>
        <v>3</v>
      </c>
    </row>
    <row r="18" spans="1:15">
      <c r="A18" t="s">
        <v>409</v>
      </c>
      <c r="B18" s="65">
        <v>1122</v>
      </c>
      <c r="C18" s="138">
        <f t="shared" si="1"/>
        <v>336.59999999999997</v>
      </c>
      <c r="D18" s="138">
        <f t="shared" si="2"/>
        <v>380.35799999999995</v>
      </c>
      <c r="E18" t="str">
        <f t="shared" si="0"/>
        <v>DB27-2</v>
      </c>
      <c r="F18" t="str" cm="1">
        <f t="array" ref="F18">_xlfn.LET(
_xlpm.p,E18,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18" s="60" t="s">
        <v>700</v>
      </c>
      <c r="H18" s="75" t="s">
        <v>744</v>
      </c>
      <c r="I18" s="82" t="str" cm="1">
        <f t="array" ref="I18">_xlfn.LET(
_xlpm.p,E18,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8" s="68" t="s">
        <v>758</v>
      </c>
      <c r="K18">
        <v>27</v>
      </c>
      <c r="L18">
        <v>34.5</v>
      </c>
      <c r="M18">
        <v>24</v>
      </c>
      <c r="N18">
        <f t="shared" si="3"/>
        <v>2</v>
      </c>
      <c r="O18">
        <f t="shared" si="4"/>
        <v>2</v>
      </c>
    </row>
    <row r="19" spans="1:15">
      <c r="A19" t="s">
        <v>406</v>
      </c>
      <c r="B19" s="65">
        <v>1490</v>
      </c>
      <c r="C19" s="138">
        <f t="shared" si="1"/>
        <v>447</v>
      </c>
      <c r="D19" s="138">
        <f t="shared" si="2"/>
        <v>505.10999999999996</v>
      </c>
      <c r="E19" t="str">
        <f t="shared" si="0"/>
        <v>DB30</v>
      </c>
      <c r="F19" t="str" cm="1">
        <f t="array" ref="F19">_xlfn.LET(
_xlpm.p,E19,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19" s="60" t="s">
        <v>700</v>
      </c>
      <c r="H19" s="75" t="s">
        <v>744</v>
      </c>
      <c r="I19" s="82" t="str" cm="1">
        <f t="array" ref="I19">_xlfn.LET(
_xlpm.p,E19,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9" s="68" t="s">
        <v>758</v>
      </c>
      <c r="K19">
        <v>30</v>
      </c>
      <c r="L19">
        <v>34.5</v>
      </c>
      <c r="M19">
        <v>24</v>
      </c>
      <c r="N19">
        <f t="shared" si="3"/>
        <v>2</v>
      </c>
      <c r="O19">
        <f t="shared" si="4"/>
        <v>3</v>
      </c>
    </row>
    <row r="20" spans="1:15">
      <c r="A20" t="s">
        <v>410</v>
      </c>
      <c r="B20" s="65">
        <v>1211</v>
      </c>
      <c r="C20" s="138">
        <f t="shared" si="1"/>
        <v>363.3</v>
      </c>
      <c r="D20" s="138">
        <f t="shared" si="2"/>
        <v>410.529</v>
      </c>
      <c r="E20" t="str">
        <f t="shared" si="0"/>
        <v>DB30-2</v>
      </c>
      <c r="F20" t="str" cm="1">
        <f t="array" ref="F20">_xlfn.LET(
_xlpm.p,E20,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20" s="60" t="s">
        <v>700</v>
      </c>
      <c r="H20" s="75" t="s">
        <v>744</v>
      </c>
      <c r="I20" s="82" t="str" cm="1">
        <f t="array" ref="I20">_xlfn.LET(
_xlpm.p,E20,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0" s="68" t="s">
        <v>758</v>
      </c>
      <c r="K20">
        <v>30</v>
      </c>
      <c r="L20">
        <v>34.5</v>
      </c>
      <c r="M20">
        <v>24</v>
      </c>
      <c r="N20">
        <f t="shared" si="3"/>
        <v>2</v>
      </c>
      <c r="O20">
        <f t="shared" si="4"/>
        <v>2</v>
      </c>
    </row>
    <row r="21" spans="1:15">
      <c r="A21" t="s">
        <v>407</v>
      </c>
      <c r="B21" s="65">
        <v>1552</v>
      </c>
      <c r="C21" s="138">
        <f t="shared" si="1"/>
        <v>465.59999999999997</v>
      </c>
      <c r="D21" s="138">
        <f t="shared" si="2"/>
        <v>526.12799999999993</v>
      </c>
      <c r="E21" t="str">
        <f t="shared" si="0"/>
        <v>DB33</v>
      </c>
      <c r="F21" t="str" cm="1">
        <f t="array" ref="F21">_xlfn.LET(
_xlpm.p,E21,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21" s="60" t="s">
        <v>700</v>
      </c>
      <c r="H21" s="75" t="s">
        <v>744</v>
      </c>
      <c r="I21" s="82" t="str" cm="1">
        <f t="array" ref="I21">_xlfn.LET(
_xlpm.p,E21,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1" s="68" t="s">
        <v>758</v>
      </c>
      <c r="K21">
        <v>33</v>
      </c>
      <c r="L21">
        <v>34.5</v>
      </c>
      <c r="M21">
        <v>24</v>
      </c>
      <c r="N21">
        <f t="shared" si="3"/>
        <v>2</v>
      </c>
      <c r="O21">
        <f t="shared" si="4"/>
        <v>3</v>
      </c>
    </row>
    <row r="22" spans="1:15">
      <c r="A22" t="s">
        <v>408</v>
      </c>
      <c r="B22" s="65">
        <v>1620</v>
      </c>
      <c r="C22" s="138">
        <f t="shared" si="1"/>
        <v>486</v>
      </c>
      <c r="D22" s="138">
        <f t="shared" si="2"/>
        <v>549.17999999999995</v>
      </c>
      <c r="E22" t="str">
        <f t="shared" si="0"/>
        <v>DB36</v>
      </c>
      <c r="F22" t="str" cm="1">
        <f t="array" ref="F22">_xlfn.LET(
_xlpm.p,E22,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22" s="60" t="s">
        <v>700</v>
      </c>
      <c r="H22" s="75" t="s">
        <v>744</v>
      </c>
      <c r="I22" s="82" t="str" cm="1">
        <f t="array" ref="I22">_xlfn.LET(
_xlpm.p,E22,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2" s="68" t="s">
        <v>758</v>
      </c>
      <c r="K22">
        <v>36</v>
      </c>
      <c r="L22">
        <v>34.5</v>
      </c>
      <c r="M22">
        <v>24</v>
      </c>
      <c r="N22">
        <f t="shared" si="3"/>
        <v>2</v>
      </c>
      <c r="O22">
        <f t="shared" si="4"/>
        <v>3</v>
      </c>
    </row>
    <row r="23" spans="1:15">
      <c r="A23" t="s">
        <v>423</v>
      </c>
      <c r="B23" s="65">
        <v>871</v>
      </c>
      <c r="C23" s="138">
        <f t="shared" si="1"/>
        <v>261.3</v>
      </c>
      <c r="D23" s="138">
        <f>C23*1.13</f>
        <v>295.26900000000001</v>
      </c>
      <c r="E23" t="str">
        <f t="shared" si="0"/>
        <v>FSB33*19.75(10-1/8)</v>
      </c>
      <c r="F23" t="str" cm="1">
        <f t="array" ref="F23">_xlfn.LET(
_xlpm.p,E23,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23" t="str" cm="1">
        <f t="array" ref="G23">_xlfn.LET(
_xlpm.p,E23,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Farmhouse Sink</v>
      </c>
      <c r="H23" s="75" t="s">
        <v>744</v>
      </c>
      <c r="I23" s="82" t="str" cm="1">
        <f t="array" ref="I23">_xlfn.LET(
_xlpm.p,E23,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3" s="68" t="s">
        <v>758</v>
      </c>
      <c r="K23">
        <v>33</v>
      </c>
      <c r="L23">
        <v>34.5</v>
      </c>
      <c r="M23">
        <v>24</v>
      </c>
      <c r="N23">
        <f t="shared" si="3"/>
        <v>2</v>
      </c>
      <c r="O23">
        <f t="shared" si="4"/>
        <v>0</v>
      </c>
    </row>
    <row r="24" spans="1:15">
      <c r="A24" t="s">
        <v>424</v>
      </c>
      <c r="B24" s="65">
        <v>937</v>
      </c>
      <c r="C24" s="138">
        <f t="shared" si="1"/>
        <v>281.09999999999997</v>
      </c>
      <c r="D24" s="138">
        <f t="shared" si="2"/>
        <v>317.64299999999992</v>
      </c>
      <c r="E24" t="str">
        <f t="shared" si="0"/>
        <v>FSB36*19.75(10-1/8)</v>
      </c>
      <c r="F24" t="str" cm="1">
        <f t="array" ref="F24">_xlfn.LET(
_xlpm.p,E24,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24" t="str" cm="1">
        <f t="array" ref="G24">_xlfn.LET(
_xlpm.p,E24,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Farmhouse Sink</v>
      </c>
      <c r="H24" s="75" t="s">
        <v>744</v>
      </c>
      <c r="I24" s="82" t="str" cm="1">
        <f t="array" ref="I24">_xlfn.LET(
_xlpm.p,E24,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4" s="68" t="s">
        <v>758</v>
      </c>
      <c r="K24">
        <v>36</v>
      </c>
      <c r="L24">
        <v>34.5</v>
      </c>
      <c r="M24">
        <v>24</v>
      </c>
      <c r="N24">
        <f t="shared" si="3"/>
        <v>2</v>
      </c>
      <c r="O24">
        <f t="shared" si="4"/>
        <v>0</v>
      </c>
    </row>
    <row r="25" spans="1:15">
      <c r="A25" t="s">
        <v>427</v>
      </c>
      <c r="B25" s="65">
        <v>1383</v>
      </c>
      <c r="C25" s="138">
        <f t="shared" si="1"/>
        <v>414.9</v>
      </c>
      <c r="D25" s="138">
        <f>C25*1.13</f>
        <v>468.83699999999993</v>
      </c>
      <c r="E25" t="str">
        <f t="shared" si="0"/>
        <v>LS3309</v>
      </c>
      <c r="F25" t="str" cm="1">
        <f t="array" ref="F25">_xlfn.LET(
_xlpm.p,E25,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25" t="str" cm="1">
        <f t="array" ref="G25">_xlfn.LET(
_xlpm.p,E25,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Corner (90deg)</v>
      </c>
      <c r="H25" s="75" t="s">
        <v>744</v>
      </c>
      <c r="I25" s="82" t="str" cm="1">
        <f t="array" ref="I25">_xlfn.LET(
_xlpm.p,E25,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5" s="68" t="s">
        <v>758</v>
      </c>
      <c r="K25">
        <v>33</v>
      </c>
      <c r="L25">
        <v>34.5</v>
      </c>
      <c r="M25">
        <v>24</v>
      </c>
      <c r="N25">
        <f t="shared" si="3"/>
        <v>2</v>
      </c>
      <c r="O25">
        <f t="shared" si="4"/>
        <v>0</v>
      </c>
    </row>
    <row r="26" spans="1:15">
      <c r="A26" t="s">
        <v>428</v>
      </c>
      <c r="B26" s="65">
        <v>1478</v>
      </c>
      <c r="C26" s="138">
        <f t="shared" si="1"/>
        <v>443.4</v>
      </c>
      <c r="D26" s="138">
        <f t="shared" si="2"/>
        <v>501.04199999999992</v>
      </c>
      <c r="E26" t="str">
        <f t="shared" si="0"/>
        <v>LS3612</v>
      </c>
      <c r="F26" t="str" cm="1">
        <f t="array" ref="F26">_xlfn.LET(
_xlpm.p,E26,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26" t="str" cm="1">
        <f t="array" ref="G26">_xlfn.LET(
_xlpm.p,E26,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Corner (90deg)</v>
      </c>
      <c r="H26" s="75" t="s">
        <v>744</v>
      </c>
      <c r="I26" s="82" t="str" cm="1">
        <f t="array" ref="I26">_xlfn.LET(
_xlpm.p,E26,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6" s="68" t="s">
        <v>758</v>
      </c>
      <c r="K26">
        <v>36</v>
      </c>
      <c r="L26">
        <v>34.5</v>
      </c>
      <c r="M26">
        <v>24</v>
      </c>
      <c r="N26">
        <v>0</v>
      </c>
      <c r="O26">
        <v>3</v>
      </c>
    </row>
    <row r="27" spans="1:15">
      <c r="A27" t="s">
        <v>437</v>
      </c>
      <c r="B27" s="65">
        <v>554</v>
      </c>
      <c r="C27" s="138">
        <f t="shared" si="1"/>
        <v>166.2</v>
      </c>
      <c r="D27" s="138"/>
      <c r="E27" t="str">
        <f t="shared" si="0"/>
        <v>SP06</v>
      </c>
      <c r="F27" t="str" cm="1">
        <f t="array" ref="F27">_xlfn.LET(
_xlpm.p,E27,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27" t="str" cm="1">
        <f t="array" ref="G27">_xlfn.LET(
_xlpm.p,E27,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 xml:space="preserve">Spice Rack - Pull-Out </v>
      </c>
      <c r="H27" s="75" t="s">
        <v>744</v>
      </c>
      <c r="I27" s="82" t="str" cm="1">
        <f t="array" ref="I27">_xlfn.LET(
_xlpm.p,E27,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7" s="68" t="s">
        <v>758</v>
      </c>
      <c r="K27">
        <v>6</v>
      </c>
      <c r="L27">
        <v>34.5</v>
      </c>
      <c r="M27">
        <v>24</v>
      </c>
      <c r="N27">
        <v>0</v>
      </c>
      <c r="O27">
        <v>3</v>
      </c>
    </row>
    <row r="28" spans="1:15">
      <c r="A28" t="s">
        <v>438</v>
      </c>
      <c r="B28" s="65">
        <v>611</v>
      </c>
      <c r="C28" s="138">
        <f t="shared" si="1"/>
        <v>183.29999999999998</v>
      </c>
      <c r="D28" s="138">
        <f t="shared" si="2"/>
        <v>207.12899999999996</v>
      </c>
      <c r="E28" t="str">
        <f t="shared" si="0"/>
        <v>SP09</v>
      </c>
      <c r="F28" t="str" cm="1">
        <f t="array" ref="F28">_xlfn.LET(
_xlpm.p,E28,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28" t="str" cm="1">
        <f t="array" ref="G28">_xlfn.LET(
_xlpm.p,E28,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 xml:space="preserve">Spice Rack - Pull-Out </v>
      </c>
      <c r="H28" s="75" t="s">
        <v>744</v>
      </c>
      <c r="I28" s="82" t="str" cm="1">
        <f t="array" ref="I28">_xlfn.LET(
_xlpm.p,E28,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8" s="68" t="s">
        <v>758</v>
      </c>
      <c r="K28">
        <v>9</v>
      </c>
      <c r="L28">
        <v>34.5</v>
      </c>
      <c r="M28">
        <v>24</v>
      </c>
      <c r="N28">
        <v>0</v>
      </c>
      <c r="O28">
        <v>3</v>
      </c>
    </row>
    <row r="29" spans="1:15">
      <c r="A29" t="s">
        <v>439</v>
      </c>
      <c r="B29" s="65">
        <v>660</v>
      </c>
      <c r="C29" s="138">
        <f t="shared" si="1"/>
        <v>198</v>
      </c>
      <c r="D29" s="138">
        <f t="shared" si="2"/>
        <v>223.73999999999998</v>
      </c>
      <c r="E29" t="str">
        <f t="shared" si="0"/>
        <v>SP12</v>
      </c>
      <c r="F29" t="str" cm="1">
        <f t="array" ref="F29">_xlfn.LET(
_xlpm.p,E29,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29" t="str" cm="1">
        <f t="array" ref="G29">_xlfn.LET(
_xlpm.p,E29,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 xml:space="preserve">Spice Rack - Pull-Out </v>
      </c>
      <c r="H29" s="75" t="s">
        <v>744</v>
      </c>
      <c r="I29" s="82" t="str" cm="1">
        <f t="array" ref="I29">_xlfn.LET(
_xlpm.p,E29,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9" s="68" t="s">
        <v>758</v>
      </c>
      <c r="K29">
        <v>12</v>
      </c>
      <c r="L29">
        <v>34.5</v>
      </c>
      <c r="M29">
        <v>24</v>
      </c>
      <c r="N29">
        <v>0</v>
      </c>
      <c r="O29">
        <v>3</v>
      </c>
    </row>
    <row r="30" spans="1:15">
      <c r="A30" t="s">
        <v>396</v>
      </c>
      <c r="B30" s="65">
        <v>1241</v>
      </c>
      <c r="C30" s="138">
        <f t="shared" si="1"/>
        <v>372.3</v>
      </c>
      <c r="D30" s="138"/>
      <c r="E30" t="str">
        <f t="shared" si="0"/>
        <v>BMC27</v>
      </c>
      <c r="F30" t="str" cm="1">
        <f t="array" ref="F30">_xlfn.LET(
_xlpm.p,E30,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Microwave Cabinet</v>
      </c>
      <c r="G30" cm="1">
        <f t="array" ref="G30">_xlfn.LET(
_xlpm.p,E30,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30" s="82" t="str" cm="1">
        <f t="array" ref="I30">_xlfn.LET(
_xlpm.p,E30,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30" s="82"/>
      <c r="N30">
        <v>0</v>
      </c>
      <c r="O30">
        <v>3</v>
      </c>
    </row>
    <row r="31" spans="1:15">
      <c r="A31" t="s">
        <v>411</v>
      </c>
      <c r="B31" s="65">
        <v>492</v>
      </c>
      <c r="C31" s="138">
        <f t="shared" si="1"/>
        <v>147.6</v>
      </c>
      <c r="D31" s="138"/>
      <c r="E31" t="str">
        <f t="shared" si="0"/>
        <v>FB09</v>
      </c>
      <c r="F31" t="str" cm="1">
        <f t="array" ref="F31">_xlfn.LET(
_xlpm.p,E31,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Bathroom - Base Cabinet</v>
      </c>
      <c r="G31" cm="1">
        <f t="array" ref="G31">_xlfn.LET(
_xlpm.p,E31,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31" s="82" t="str" cm="1">
        <f t="array" ref="I31">_xlfn.LET(
_xlpm.p,E31,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31" s="82"/>
      <c r="N31">
        <v>0</v>
      </c>
      <c r="O31">
        <v>3</v>
      </c>
    </row>
    <row r="32" spans="1:15">
      <c r="A32" t="s">
        <v>412</v>
      </c>
      <c r="B32" s="65">
        <v>545</v>
      </c>
      <c r="C32" s="138">
        <f t="shared" si="1"/>
        <v>163.5</v>
      </c>
      <c r="D32" s="138"/>
      <c r="E32" t="str">
        <f t="shared" si="0"/>
        <v>FB12</v>
      </c>
      <c r="F32" t="str" cm="1">
        <f t="array" ref="F32">_xlfn.LET(
_xlpm.p,E32,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Bathroom - Base Cabinet</v>
      </c>
      <c r="G32" cm="1">
        <f t="array" ref="G32">_xlfn.LET(
_xlpm.p,E32,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32" s="82" t="str" cm="1">
        <f t="array" ref="I32">_xlfn.LET(
_xlpm.p,E32,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32" s="82"/>
      <c r="N32">
        <v>0</v>
      </c>
      <c r="O32">
        <v>2</v>
      </c>
    </row>
    <row r="33" spans="1:15">
      <c r="A33" t="s">
        <v>413</v>
      </c>
      <c r="B33" s="65">
        <v>616</v>
      </c>
      <c r="C33" s="138">
        <f t="shared" si="1"/>
        <v>184.79999999999998</v>
      </c>
      <c r="D33" s="138"/>
      <c r="E33" t="str">
        <f t="shared" si="0"/>
        <v>FB15</v>
      </c>
      <c r="F33" t="str" cm="1">
        <f t="array" ref="F33">_xlfn.LET(
_xlpm.p,E33,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Bathroom - Base Cabinet</v>
      </c>
      <c r="G33" cm="1">
        <f t="array" ref="G33">_xlfn.LET(
_xlpm.p,E33,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33" s="82" t="str" cm="1">
        <f t="array" ref="I33">_xlfn.LET(
_xlpm.p,E33,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33" s="82"/>
      <c r="N33">
        <v>0</v>
      </c>
      <c r="O33">
        <v>3</v>
      </c>
    </row>
    <row r="34" spans="1:15">
      <c r="A34" t="s">
        <v>414</v>
      </c>
      <c r="B34" s="65">
        <v>670</v>
      </c>
      <c r="C34" s="138">
        <f t="shared" si="1"/>
        <v>201</v>
      </c>
      <c r="D34" s="138"/>
      <c r="E34" t="str">
        <f t="shared" si="0"/>
        <v>FB18</v>
      </c>
      <c r="F34" t="str" cm="1">
        <f t="array" ref="F34">_xlfn.LET(
_xlpm.p,E34,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Bathroom - Base Cabinet</v>
      </c>
      <c r="G34" cm="1">
        <f t="array" ref="G34">_xlfn.LET(
_xlpm.p,E34,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34" s="82" t="str" cm="1">
        <f t="array" ref="I34">_xlfn.LET(
_xlpm.p,E34,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34" s="82"/>
      <c r="N34">
        <v>0</v>
      </c>
      <c r="O34">
        <v>2</v>
      </c>
    </row>
    <row r="35" spans="1:15">
      <c r="A35" t="s">
        <v>415</v>
      </c>
      <c r="B35" s="65">
        <v>732</v>
      </c>
      <c r="C35" s="138">
        <f t="shared" si="1"/>
        <v>219.6</v>
      </c>
      <c r="D35" s="138"/>
      <c r="E35" t="str">
        <f t="shared" si="0"/>
        <v>FB21</v>
      </c>
      <c r="F35" t="str" cm="1">
        <f t="array" ref="F35">_xlfn.LET(
_xlpm.p,E35,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Bathroom - Base Cabinet</v>
      </c>
      <c r="G35" cm="1">
        <f t="array" ref="G35">_xlfn.LET(
_xlpm.p,E35,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35" s="82" t="str" cm="1">
        <f t="array" ref="I35">_xlfn.LET(
_xlpm.p,E35,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35" s="82"/>
      <c r="N35">
        <v>0</v>
      </c>
      <c r="O35">
        <v>3</v>
      </c>
    </row>
    <row r="36" spans="1:15">
      <c r="A36" t="s">
        <v>416</v>
      </c>
      <c r="B36" s="65">
        <v>817</v>
      </c>
      <c r="C36" s="138">
        <f t="shared" si="1"/>
        <v>245.1</v>
      </c>
      <c r="D36" s="138"/>
      <c r="E36" t="str">
        <f t="shared" si="0"/>
        <v>FB24</v>
      </c>
      <c r="F36" t="str" cm="1">
        <f t="array" ref="F36">_xlfn.LET(
_xlpm.p,E36,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Bathroom - Base Cabinet</v>
      </c>
      <c r="G36" cm="1">
        <f t="array" ref="G36">_xlfn.LET(
_xlpm.p,E36,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36" s="82" t="str" cm="1">
        <f t="array" ref="I36">_xlfn.LET(
_xlpm.p,E36,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36" s="82"/>
      <c r="N36">
        <v>0</v>
      </c>
      <c r="O36">
        <v>3</v>
      </c>
    </row>
    <row r="37" spans="1:15">
      <c r="A37" t="s">
        <v>417</v>
      </c>
      <c r="B37" s="65">
        <v>875</v>
      </c>
      <c r="C37" s="138">
        <f t="shared" si="1"/>
        <v>262.5</v>
      </c>
      <c r="D37" s="138"/>
      <c r="E37" t="str">
        <f t="shared" si="0"/>
        <v>FB27</v>
      </c>
      <c r="F37" t="str" cm="1">
        <f t="array" ref="F37">_xlfn.LET(
_xlpm.p,E37,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Bathroom - Base Cabinet</v>
      </c>
      <c r="G37" cm="1">
        <f t="array" ref="G37">_xlfn.LET(
_xlpm.p,E37,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37" s="82" t="str" cm="1">
        <f t="array" ref="I37">_xlfn.LET(
_xlpm.p,E37,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37" s="82"/>
      <c r="N37">
        <f t="shared" si="3"/>
        <v>1</v>
      </c>
      <c r="O37">
        <f t="shared" si="4"/>
        <v>0</v>
      </c>
    </row>
    <row r="38" spans="1:15">
      <c r="A38" t="s">
        <v>418</v>
      </c>
      <c r="B38" s="65">
        <v>937</v>
      </c>
      <c r="C38" s="138">
        <f t="shared" si="1"/>
        <v>281.09999999999997</v>
      </c>
      <c r="D38" s="138"/>
      <c r="E38" t="str">
        <f t="shared" si="0"/>
        <v>FB30</v>
      </c>
      <c r="F38" t="str" cm="1">
        <f t="array" ref="F38">_xlfn.LET(
_xlpm.p,E38,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Bathroom - Base Cabinet</v>
      </c>
      <c r="G38" cm="1">
        <f t="array" ref="G38">_xlfn.LET(
_xlpm.p,E38,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38" s="82" t="str" cm="1">
        <f t="array" ref="I38">_xlfn.LET(
_xlpm.p,E38,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38" s="82"/>
      <c r="N38">
        <f t="shared" si="3"/>
        <v>1</v>
      </c>
      <c r="O38">
        <f t="shared" si="4"/>
        <v>0</v>
      </c>
    </row>
    <row r="39" spans="1:15">
      <c r="A39" t="s">
        <v>419</v>
      </c>
      <c r="B39" s="65">
        <v>991</v>
      </c>
      <c r="C39" s="138">
        <f t="shared" si="1"/>
        <v>297.3</v>
      </c>
      <c r="D39" s="138"/>
      <c r="E39" t="str">
        <f t="shared" si="0"/>
        <v>FB33</v>
      </c>
      <c r="F39" t="str" cm="1">
        <f t="array" ref="F39">_xlfn.LET(
_xlpm.p,E39,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Bathroom - Base Cabinet</v>
      </c>
      <c r="G39" cm="1">
        <f t="array" ref="G39">_xlfn.LET(
_xlpm.p,E39,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39" s="82" t="str" cm="1">
        <f t="array" ref="I39">_xlfn.LET(
_xlpm.p,E39,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39" s="82"/>
      <c r="N39">
        <f t="shared" si="3"/>
        <v>1</v>
      </c>
      <c r="O39">
        <f t="shared" si="4"/>
        <v>0</v>
      </c>
    </row>
    <row r="40" spans="1:15">
      <c r="A40" t="s">
        <v>420</v>
      </c>
      <c r="B40" s="65">
        <v>1046</v>
      </c>
      <c r="C40" s="138">
        <f t="shared" si="1"/>
        <v>313.8</v>
      </c>
      <c r="D40" s="138"/>
      <c r="E40" t="str">
        <f t="shared" si="0"/>
        <v>FB36</v>
      </c>
      <c r="F40" t="str" cm="1">
        <f t="array" ref="F40">_xlfn.LET(
_xlpm.p,E40,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Bathroom - Base Cabinet</v>
      </c>
      <c r="G40" cm="1">
        <f t="array" ref="G40">_xlfn.LET(
_xlpm.p,E40,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40" s="82" t="str" cm="1">
        <f t="array" ref="I40">_xlfn.LET(
_xlpm.p,E40,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40" s="82"/>
      <c r="N40">
        <f t="shared" si="3"/>
        <v>1</v>
      </c>
      <c r="O40">
        <f t="shared" si="4"/>
        <v>0</v>
      </c>
    </row>
    <row r="41" spans="1:15">
      <c r="A41" t="s">
        <v>421</v>
      </c>
      <c r="B41" s="65">
        <v>1109</v>
      </c>
      <c r="C41" s="138">
        <f t="shared" si="1"/>
        <v>332.7</v>
      </c>
      <c r="D41" s="138"/>
      <c r="E41" t="str">
        <f t="shared" si="0"/>
        <v>FB39</v>
      </c>
      <c r="F41" t="str" cm="1">
        <f t="array" ref="F41">_xlfn.LET(
_xlpm.p,E41,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Bathroom - Base Cabinet</v>
      </c>
      <c r="G41" cm="1">
        <f t="array" ref="G41">_xlfn.LET(
_xlpm.p,E41,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41" s="82" t="str" cm="1">
        <f t="array" ref="I41">_xlfn.LET(
_xlpm.p,E41,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41" s="82"/>
      <c r="N41">
        <f t="shared" si="3"/>
        <v>1</v>
      </c>
      <c r="O41">
        <f t="shared" si="4"/>
        <v>0</v>
      </c>
    </row>
    <row r="42" spans="1:15">
      <c r="A42" t="s">
        <v>422</v>
      </c>
      <c r="B42" s="65">
        <v>1140</v>
      </c>
      <c r="C42" s="138">
        <f t="shared" si="1"/>
        <v>342</v>
      </c>
      <c r="D42" s="138"/>
      <c r="E42" t="str">
        <f t="shared" si="0"/>
        <v>FB42</v>
      </c>
      <c r="F42" t="str" cm="1">
        <f t="array" ref="F42">_xlfn.LET(
_xlpm.p,E42,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Bathroom - Base Cabinet</v>
      </c>
      <c r="G42" cm="1">
        <f t="array" ref="G42">_xlfn.LET(
_xlpm.p,E42,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42" s="82" t="str" cm="1">
        <f t="array" ref="I42">_xlfn.LET(
_xlpm.p,E42,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42" s="82"/>
      <c r="N42">
        <f t="shared" si="3"/>
        <v>1</v>
      </c>
      <c r="O42">
        <f t="shared" si="4"/>
        <v>0</v>
      </c>
    </row>
    <row r="43" spans="1:15">
      <c r="A43" t="s">
        <v>443</v>
      </c>
      <c r="B43" s="65">
        <v>1013</v>
      </c>
      <c r="C43" s="138">
        <f t="shared" si="1"/>
        <v>303.89999999999998</v>
      </c>
      <c r="D43" s="138"/>
      <c r="E43" t="str">
        <f t="shared" si="0"/>
        <v>VDB1221</v>
      </c>
      <c r="F43" t="str" cm="1">
        <f t="array" ref="F43">_xlfn.LET(
_xlpm.p,E43,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Bathroom - Base Cabinet</v>
      </c>
      <c r="G43" t="str" cm="1">
        <f t="array" ref="G43">_xlfn.LET(
_xlpm.p,E43,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Drawer</v>
      </c>
      <c r="I43" s="82" t="str" cm="1">
        <f t="array" ref="I43">_xlfn.LET(
_xlpm.p,E43,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43" s="82"/>
      <c r="N43">
        <f t="shared" si="3"/>
        <v>1</v>
      </c>
      <c r="O43">
        <f t="shared" si="4"/>
        <v>3</v>
      </c>
    </row>
    <row r="44" spans="1:15">
      <c r="A44" t="s">
        <v>444</v>
      </c>
      <c r="B44" s="65">
        <v>1098</v>
      </c>
      <c r="C44" s="138">
        <f t="shared" si="1"/>
        <v>329.4</v>
      </c>
      <c r="D44" s="138"/>
      <c r="E44" t="str">
        <f t="shared" si="0"/>
        <v>VDB1521</v>
      </c>
      <c r="F44" t="str" cm="1">
        <f t="array" ref="F44">_xlfn.LET(
_xlpm.p,E44,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Bathroom - Base Cabinet</v>
      </c>
      <c r="G44" t="str" cm="1">
        <f t="array" ref="G44">_xlfn.LET(
_xlpm.p,E44,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Drawer</v>
      </c>
      <c r="I44" s="82" t="str" cm="1">
        <f t="array" ref="I44">_xlfn.LET(
_xlpm.p,E44,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44" s="82"/>
      <c r="N44">
        <f t="shared" si="3"/>
        <v>1</v>
      </c>
      <c r="O44">
        <f t="shared" si="4"/>
        <v>3</v>
      </c>
    </row>
    <row r="45" spans="1:15">
      <c r="A45" t="s">
        <v>445</v>
      </c>
      <c r="B45" s="65">
        <v>1141</v>
      </c>
      <c r="C45" s="138">
        <f t="shared" si="1"/>
        <v>342.3</v>
      </c>
      <c r="D45" s="138"/>
      <c r="E45" t="str">
        <f t="shared" si="0"/>
        <v>VDB1821</v>
      </c>
      <c r="F45" t="str" cm="1">
        <f t="array" ref="F45">_xlfn.LET(
_xlpm.p,E45,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Bathroom - Base Cabinet</v>
      </c>
      <c r="G45" t="str" cm="1">
        <f t="array" ref="G45">_xlfn.LET(
_xlpm.p,E45,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Drawer</v>
      </c>
      <c r="I45" s="82" t="str" cm="1">
        <f t="array" ref="I45">_xlfn.LET(
_xlpm.p,E45,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45" s="82"/>
      <c r="N45">
        <f t="shared" si="3"/>
        <v>1</v>
      </c>
      <c r="O45">
        <f t="shared" si="4"/>
        <v>3</v>
      </c>
    </row>
    <row r="46" spans="1:15">
      <c r="A46" t="s">
        <v>441</v>
      </c>
      <c r="B46" s="65">
        <v>798</v>
      </c>
      <c r="C46" s="138">
        <f t="shared" si="1"/>
        <v>239.39999999999998</v>
      </c>
      <c r="D46" s="138"/>
      <c r="E46" t="str">
        <f t="shared" si="0"/>
        <v>VS2421</v>
      </c>
      <c r="F46" t="str" cm="1">
        <f t="array" ref="F46">_xlfn.LET(
_xlpm.p,E46,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Bathroom - Base Cabinet</v>
      </c>
      <c r="G46" t="str" cm="1">
        <f t="array" ref="G46">_xlfn.LET(
_xlpm.p,E46,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Sink</v>
      </c>
      <c r="I46" s="82" t="str" cm="1">
        <f t="array" ref="I46">_xlfn.LET(
_xlpm.p,E46,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46" s="82"/>
      <c r="N46">
        <f t="shared" si="3"/>
        <v>1</v>
      </c>
      <c r="O46">
        <f t="shared" si="4"/>
        <v>0</v>
      </c>
    </row>
    <row r="47" spans="1:15">
      <c r="A47" t="s">
        <v>442</v>
      </c>
      <c r="B47" s="65">
        <v>910</v>
      </c>
      <c r="C47" s="138">
        <f t="shared" si="1"/>
        <v>273</v>
      </c>
      <c r="D47" s="138"/>
      <c r="E47" t="str">
        <f t="shared" si="0"/>
        <v>VS3021</v>
      </c>
      <c r="F47" t="str" cm="1">
        <f t="array" ref="F47">_xlfn.LET(
_xlpm.p,E47,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Bathroom - Base Cabinet</v>
      </c>
      <c r="G47" t="str" cm="1">
        <f t="array" ref="G47">_xlfn.LET(
_xlpm.p,E47,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Sink</v>
      </c>
      <c r="I47" s="82" t="str" cm="1">
        <f t="array" ref="I47">_xlfn.LET(
_xlpm.p,E47,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47" s="82"/>
      <c r="N47">
        <f t="shared" si="3"/>
        <v>1</v>
      </c>
      <c r="O47">
        <f t="shared" si="4"/>
        <v>0</v>
      </c>
    </row>
    <row r="48" spans="1:15">
      <c r="A48" t="s">
        <v>593</v>
      </c>
      <c r="B48" s="65">
        <v>101</v>
      </c>
      <c r="C48" s="138">
        <f t="shared" si="1"/>
        <v>30.299999999999997</v>
      </c>
      <c r="D48" s="138"/>
      <c r="E48" t="str">
        <f t="shared" si="0"/>
        <v>ROD15</v>
      </c>
      <c r="F48" t="str" cm="1">
        <f t="array" ref="F48">_xlfn.LET(
_xlpm.p,E48,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cote dessous tiroir</v>
      </c>
      <c r="G48" cm="1">
        <f t="array" ref="G48">_xlfn.LET(
_xlpm.p,E48,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48" s="82" t="str" cm="1">
        <f t="array" ref="I48">_xlfn.LET(
_xlpm.p,E48,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48" s="82"/>
      <c r="N48" s="75" t="s">
        <v>743</v>
      </c>
      <c r="O48" s="75" t="s">
        <v>743</v>
      </c>
    </row>
    <row r="49" spans="1:15">
      <c r="A49" t="s">
        <v>594</v>
      </c>
      <c r="B49" s="65">
        <v>115</v>
      </c>
      <c r="C49" s="138">
        <f t="shared" si="1"/>
        <v>34.5</v>
      </c>
      <c r="D49" s="138"/>
      <c r="E49" t="str">
        <f t="shared" si="0"/>
        <v>ROD18</v>
      </c>
      <c r="F49" t="str" cm="1">
        <f t="array" ref="F49">_xlfn.LET(
_xlpm.p,E49,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cote dessous tiroir</v>
      </c>
      <c r="G49" cm="1">
        <f t="array" ref="G49">_xlfn.LET(
_xlpm.p,E49,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49" s="82" t="str" cm="1">
        <f t="array" ref="I49">_xlfn.LET(
_xlpm.p,E49,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49" s="82"/>
      <c r="N49" s="75" t="s">
        <v>743</v>
      </c>
      <c r="O49" s="75" t="s">
        <v>743</v>
      </c>
    </row>
    <row r="50" spans="1:15">
      <c r="A50" t="s">
        <v>595</v>
      </c>
      <c r="B50" s="65">
        <v>130</v>
      </c>
      <c r="C50" s="138">
        <f t="shared" si="1"/>
        <v>39</v>
      </c>
      <c r="D50" s="138"/>
      <c r="E50" t="str">
        <f t="shared" si="0"/>
        <v>ROD21</v>
      </c>
      <c r="F50" t="str" cm="1">
        <f t="array" ref="F50">_xlfn.LET(
_xlpm.p,E50,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cote dessous tiroir</v>
      </c>
      <c r="G50" cm="1">
        <f t="array" ref="G50">_xlfn.LET(
_xlpm.p,E50,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50" s="82" t="str" cm="1">
        <f t="array" ref="I50">_xlfn.LET(
_xlpm.p,E50,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50" s="82"/>
      <c r="N50" s="75" t="s">
        <v>743</v>
      </c>
      <c r="O50" s="75" t="s">
        <v>743</v>
      </c>
    </row>
    <row r="51" spans="1:15">
      <c r="A51" t="s">
        <v>596</v>
      </c>
      <c r="B51" s="65">
        <v>144</v>
      </c>
      <c r="C51" s="138">
        <f t="shared" si="1"/>
        <v>43.199999999999996</v>
      </c>
      <c r="D51" s="138"/>
      <c r="E51" t="str">
        <f t="shared" si="0"/>
        <v>ROD24</v>
      </c>
      <c r="F51" t="str" cm="1">
        <f t="array" ref="F51">_xlfn.LET(
_xlpm.p,E51,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cote dessous tiroir</v>
      </c>
      <c r="G51" cm="1">
        <f t="array" ref="G51">_xlfn.LET(
_xlpm.p,E51,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51" s="82" t="str" cm="1">
        <f t="array" ref="I51">_xlfn.LET(
_xlpm.p,E51,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51" s="82"/>
      <c r="N51" s="75" t="s">
        <v>743</v>
      </c>
      <c r="O51" s="75" t="s">
        <v>743</v>
      </c>
    </row>
    <row r="52" spans="1:15">
      <c r="A52" t="s">
        <v>597</v>
      </c>
      <c r="B52" s="65">
        <v>160</v>
      </c>
      <c r="C52" s="138">
        <f t="shared" si="1"/>
        <v>48</v>
      </c>
      <c r="D52" s="138"/>
      <c r="E52" t="str">
        <f t="shared" si="0"/>
        <v>ROD27</v>
      </c>
      <c r="F52" t="str" cm="1">
        <f t="array" ref="F52">_xlfn.LET(
_xlpm.p,E52,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cote dessous tiroir</v>
      </c>
      <c r="G52" cm="1">
        <f t="array" ref="G52">_xlfn.LET(
_xlpm.p,E52,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52" s="82" t="str" cm="1">
        <f t="array" ref="I52">_xlfn.LET(
_xlpm.p,E52,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52" s="82"/>
      <c r="N52" s="75" t="s">
        <v>743</v>
      </c>
      <c r="O52" s="75" t="s">
        <v>743</v>
      </c>
    </row>
    <row r="53" spans="1:15">
      <c r="A53" t="s">
        <v>598</v>
      </c>
      <c r="B53" s="65">
        <v>175</v>
      </c>
      <c r="C53" s="138">
        <f t="shared" si="1"/>
        <v>52.5</v>
      </c>
      <c r="D53" s="138"/>
      <c r="E53" t="str">
        <f t="shared" si="0"/>
        <v>ROD30</v>
      </c>
      <c r="F53" t="str" cm="1">
        <f t="array" ref="F53">_xlfn.LET(
_xlpm.p,E53,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cote dessous tiroir</v>
      </c>
      <c r="G53" cm="1">
        <f t="array" ref="G53">_xlfn.LET(
_xlpm.p,E53,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53" s="82" t="str" cm="1">
        <f t="array" ref="I53">_xlfn.LET(
_xlpm.p,E53,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53" s="82"/>
      <c r="N53" s="75" t="s">
        <v>743</v>
      </c>
      <c r="O53" s="75" t="s">
        <v>743</v>
      </c>
    </row>
    <row r="54" spans="1:15">
      <c r="A54" t="s">
        <v>599</v>
      </c>
      <c r="B54" s="65">
        <v>189</v>
      </c>
      <c r="C54" s="138">
        <f t="shared" si="1"/>
        <v>56.699999999999996</v>
      </c>
      <c r="D54" s="138"/>
      <c r="E54" t="str">
        <f t="shared" si="0"/>
        <v>ROD33</v>
      </c>
      <c r="F54" t="str" cm="1">
        <f t="array" ref="F54">_xlfn.LET(
_xlpm.p,E54,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cote dessous tiroir</v>
      </c>
      <c r="G54" cm="1">
        <f t="array" ref="G54">_xlfn.LET(
_xlpm.p,E54,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54" s="82" t="str" cm="1">
        <f t="array" ref="I54">_xlfn.LET(
_xlpm.p,E54,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54" s="82"/>
      <c r="N54" s="75" t="s">
        <v>743</v>
      </c>
      <c r="O54" s="75" t="s">
        <v>743</v>
      </c>
    </row>
    <row r="55" spans="1:15">
      <c r="A55" t="s">
        <v>600</v>
      </c>
      <c r="B55" s="65">
        <v>215</v>
      </c>
      <c r="C55" s="138">
        <f t="shared" si="1"/>
        <v>64.5</v>
      </c>
      <c r="D55" s="138"/>
      <c r="E55" t="str">
        <f t="shared" si="0"/>
        <v>ROD36</v>
      </c>
      <c r="F55" t="str" cm="1">
        <f t="array" ref="F55">_xlfn.LET(
_xlpm.p,E55,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cote dessous tiroir</v>
      </c>
      <c r="G55" cm="1">
        <f t="array" ref="G55">_xlfn.LET(
_xlpm.p,E55,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55" s="82" t="str" cm="1">
        <f t="array" ref="I55">_xlfn.LET(
_xlpm.p,E55,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55" s="82"/>
      <c r="N55" s="75" t="s">
        <v>743</v>
      </c>
      <c r="O55" s="75" t="s">
        <v>743</v>
      </c>
    </row>
    <row r="56" spans="1:15">
      <c r="A56" t="s">
        <v>583</v>
      </c>
      <c r="B56" s="65">
        <v>150</v>
      </c>
      <c r="C56" s="138">
        <f t="shared" si="1"/>
        <v>45</v>
      </c>
      <c r="D56" s="138">
        <f>C56*1.25</f>
        <v>56.25</v>
      </c>
      <c r="E56" t="str">
        <f t="shared" si="0"/>
        <v>BDD12.75*36</v>
      </c>
      <c r="F56" t="str" cm="1">
        <f t="array" ref="F56">_xlfn.LET(
_xlpm.p,E56,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Code'!B:B,""),
IF(OR(RIGHT(_xlpm.p,5)="-Door",RIGHT(_xlpm.p,6)="-DOORS"),_xlpm.productType&amp;" - Door",_xlpm.productType)
)</f>
        <v>Dummy Door</v>
      </c>
      <c r="G56" t="str" cm="1">
        <f t="array" ref="G56">_xlfn.LET(
_xlpm.p,E56,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 End</v>
      </c>
      <c r="H56" s="75" t="s">
        <v>743</v>
      </c>
      <c r="I56" s="68" t="str" cm="1">
        <f t="array" ref="I56">_xlfn.LET(
_xlpm.p,E56,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56" s="68" t="s">
        <v>758</v>
      </c>
      <c r="K56">
        <v>12.75</v>
      </c>
      <c r="L56">
        <v>36</v>
      </c>
      <c r="M56">
        <f t="shared" ref="M56:M65" si="5">3/4</f>
        <v>0.75</v>
      </c>
      <c r="N56" s="75" t="s">
        <v>743</v>
      </c>
      <c r="O56" s="75" t="s">
        <v>743</v>
      </c>
    </row>
    <row r="57" spans="1:15">
      <c r="A57" t="s">
        <v>584</v>
      </c>
      <c r="B57" s="65">
        <v>238</v>
      </c>
      <c r="C57" s="138">
        <f t="shared" si="1"/>
        <v>71.399999999999991</v>
      </c>
      <c r="D57" s="138">
        <f t="shared" ref="D57:D65" si="6">C57*1.25</f>
        <v>89.249999999999986</v>
      </c>
      <c r="E57" t="str">
        <f t="shared" si="0"/>
        <v>BDD21.75*36</v>
      </c>
      <c r="F57" t="str" cm="1">
        <f t="array" ref="F57">_xlfn.LET(
_xlpm.p,E57,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Code'!B:B,""),
IF(OR(RIGHT(_xlpm.p,5)="-Door",RIGHT(_xlpm.p,6)="-DOORS"),_xlpm.productType&amp;" - Door",_xlpm.productType)
)</f>
        <v>Dummy Door</v>
      </c>
      <c r="G57" t="str" cm="1">
        <f t="array" ref="G57">_xlfn.LET(
_xlpm.p,E57,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 End</v>
      </c>
      <c r="H57" s="75" t="s">
        <v>743</v>
      </c>
      <c r="I57" s="68" t="str" cm="1">
        <f t="array" ref="I57">_xlfn.LET(
_xlpm.p,E57,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57" s="68" t="s">
        <v>758</v>
      </c>
      <c r="K57">
        <v>21.75</v>
      </c>
      <c r="L57">
        <v>36</v>
      </c>
      <c r="M57">
        <f t="shared" si="5"/>
        <v>0.75</v>
      </c>
      <c r="N57" s="75" t="s">
        <v>743</v>
      </c>
      <c r="O57" s="75" t="s">
        <v>743</v>
      </c>
    </row>
    <row r="58" spans="1:15">
      <c r="A58" t="s">
        <v>585</v>
      </c>
      <c r="B58" s="65">
        <v>250</v>
      </c>
      <c r="C58" s="138">
        <f t="shared" si="1"/>
        <v>75</v>
      </c>
      <c r="D58" s="138">
        <f t="shared" si="6"/>
        <v>93.75</v>
      </c>
      <c r="E58" t="str">
        <f t="shared" si="0"/>
        <v>BDD24.75*36</v>
      </c>
      <c r="F58" t="str" cm="1">
        <f t="array" ref="F58">_xlfn.LET(
_xlpm.p,E58,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Dummy Door</v>
      </c>
      <c r="G58" t="str" cm="1">
        <f t="array" ref="G58">_xlfn.LET(
_xlpm.p,E58,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 End</v>
      </c>
      <c r="H58" s="75" t="s">
        <v>743</v>
      </c>
      <c r="I58" s="68" t="str" cm="1">
        <f t="array" ref="I58">_xlfn.LET(
_xlpm.p,E58,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58" s="68" t="s">
        <v>758</v>
      </c>
      <c r="K58">
        <v>24.75</v>
      </c>
      <c r="L58">
        <v>36</v>
      </c>
      <c r="M58">
        <f t="shared" si="5"/>
        <v>0.75</v>
      </c>
      <c r="N58" s="75" t="s">
        <v>743</v>
      </c>
      <c r="O58" s="75" t="s">
        <v>743</v>
      </c>
    </row>
    <row r="59" spans="1:15">
      <c r="A59" t="s">
        <v>589</v>
      </c>
      <c r="B59" s="65">
        <v>192</v>
      </c>
      <c r="C59" s="138">
        <f t="shared" si="1"/>
        <v>57.599999999999994</v>
      </c>
      <c r="D59" s="138">
        <f t="shared" si="6"/>
        <v>72</v>
      </c>
      <c r="E59" t="str">
        <f t="shared" si="0"/>
        <v>BDD2430</v>
      </c>
      <c r="F59" t="str" cm="1">
        <f t="array" ref="F59">_xlfn.LET(
_xlpm.p,E59,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Dummy Door</v>
      </c>
      <c r="G59" t="str" cm="1">
        <f t="array" ref="G59">_xlfn.LET(
_xlpm.p,E59,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 End</v>
      </c>
      <c r="H59" s="75" t="s">
        <v>743</v>
      </c>
      <c r="I59" s="68" t="str" cm="1">
        <f t="array" ref="I59">_xlfn.LET(
_xlpm.p,E59,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59" s="68" t="s">
        <v>758</v>
      </c>
      <c r="K59">
        <v>24</v>
      </c>
      <c r="L59">
        <v>30</v>
      </c>
      <c r="M59">
        <f t="shared" si="5"/>
        <v>0.75</v>
      </c>
      <c r="N59" s="75" t="s">
        <v>743</v>
      </c>
      <c r="O59" s="75" t="s">
        <v>743</v>
      </c>
    </row>
    <row r="60" spans="1:15">
      <c r="A60" t="s">
        <v>586</v>
      </c>
      <c r="B60" s="65">
        <v>256</v>
      </c>
      <c r="C60" s="138">
        <f t="shared" si="1"/>
        <v>76.8</v>
      </c>
      <c r="D60" s="138">
        <f t="shared" si="6"/>
        <v>96</v>
      </c>
      <c r="E60" t="str">
        <f t="shared" si="0"/>
        <v>BDD25.75*36</v>
      </c>
      <c r="F60" t="str" cm="1">
        <f t="array" ref="F60">_xlfn.LET(
_xlpm.p,E60,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Dummy Door</v>
      </c>
      <c r="G60" t="str" cm="1">
        <f t="array" ref="G60">_xlfn.LET(
_xlpm.p,E60,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 End</v>
      </c>
      <c r="H60" s="75" t="s">
        <v>743</v>
      </c>
      <c r="I60" s="68" t="str" cm="1">
        <f t="array" ref="I60">_xlfn.LET(
_xlpm.p,E60,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60" s="68" t="s">
        <v>758</v>
      </c>
      <c r="K60">
        <v>25.75</v>
      </c>
      <c r="L60">
        <v>36</v>
      </c>
      <c r="M60">
        <f t="shared" si="5"/>
        <v>0.75</v>
      </c>
      <c r="N60" s="75" t="s">
        <v>743</v>
      </c>
      <c r="O60" s="75" t="s">
        <v>743</v>
      </c>
    </row>
    <row r="61" spans="1:15">
      <c r="A61" t="s">
        <v>590</v>
      </c>
      <c r="B61" s="65">
        <v>223</v>
      </c>
      <c r="C61" s="138">
        <f t="shared" si="1"/>
        <v>66.899999999999991</v>
      </c>
      <c r="D61" s="138">
        <f t="shared" si="6"/>
        <v>83.624999999999986</v>
      </c>
      <c r="E61" t="str">
        <f t="shared" si="0"/>
        <v>BDD2730</v>
      </c>
      <c r="F61" t="str" cm="1">
        <f t="array" ref="F61">_xlfn.LET(
_xlpm.p,E61,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Dummy Door</v>
      </c>
      <c r="G61" t="str" cm="1">
        <f t="array" ref="G61">_xlfn.LET(
_xlpm.p,E61,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 End</v>
      </c>
      <c r="H61" s="75" t="s">
        <v>743</v>
      </c>
      <c r="I61" s="68" t="str" cm="1">
        <f t="array" ref="I61">_xlfn.LET(
_xlpm.p,E61,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61" s="68" t="s">
        <v>758</v>
      </c>
      <c r="K61">
        <v>27</v>
      </c>
      <c r="L61">
        <v>30</v>
      </c>
      <c r="M61">
        <f t="shared" si="5"/>
        <v>0.75</v>
      </c>
      <c r="N61" s="75" t="s">
        <v>743</v>
      </c>
      <c r="O61" s="75" t="s">
        <v>743</v>
      </c>
    </row>
    <row r="62" spans="1:15">
      <c r="A62" t="s">
        <v>591</v>
      </c>
      <c r="B62" s="65">
        <v>257</v>
      </c>
      <c r="C62" s="138">
        <f t="shared" si="1"/>
        <v>77.099999999999994</v>
      </c>
      <c r="D62" s="138">
        <f t="shared" si="6"/>
        <v>96.375</v>
      </c>
      <c r="E62" t="str">
        <f t="shared" si="0"/>
        <v>BDD3030</v>
      </c>
      <c r="F62" t="str" cm="1">
        <f t="array" ref="F62">_xlfn.LET(
_xlpm.p,E62,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Dummy Door</v>
      </c>
      <c r="G62" t="str" cm="1">
        <f t="array" ref="G62">_xlfn.LET(
_xlpm.p,E62,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 End</v>
      </c>
      <c r="H62" s="75" t="s">
        <v>743</v>
      </c>
      <c r="I62" s="68" t="str" cm="1">
        <f t="array" ref="I62">_xlfn.LET(
_xlpm.p,E62,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62" s="68" t="s">
        <v>758</v>
      </c>
      <c r="K62">
        <v>30</v>
      </c>
      <c r="L62">
        <v>30</v>
      </c>
      <c r="M62">
        <f t="shared" si="5"/>
        <v>0.75</v>
      </c>
      <c r="N62" s="75" t="s">
        <v>743</v>
      </c>
      <c r="O62" s="75" t="s">
        <v>743</v>
      </c>
    </row>
    <row r="63" spans="1:15">
      <c r="A63" t="s">
        <v>592</v>
      </c>
      <c r="B63" s="65">
        <v>290</v>
      </c>
      <c r="C63" s="138">
        <f t="shared" si="1"/>
        <v>87</v>
      </c>
      <c r="D63" s="138">
        <f t="shared" si="6"/>
        <v>108.75</v>
      </c>
      <c r="E63" t="str">
        <f t="shared" si="0"/>
        <v>BDD3330</v>
      </c>
      <c r="F63" t="str" cm="1">
        <f t="array" ref="F63">_xlfn.LET(
_xlpm.p,E63,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Dummy Door</v>
      </c>
      <c r="G63" t="str" cm="1">
        <f t="array" ref="G63">_xlfn.LET(
_xlpm.p,E63,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 End</v>
      </c>
      <c r="H63" s="75" t="s">
        <v>743</v>
      </c>
      <c r="I63" s="68" t="str" cm="1">
        <f t="array" ref="I63">_xlfn.LET(
_xlpm.p,E63,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63" s="68" t="s">
        <v>758</v>
      </c>
      <c r="K63">
        <v>33</v>
      </c>
      <c r="L63">
        <v>30</v>
      </c>
      <c r="M63">
        <f t="shared" si="5"/>
        <v>0.75</v>
      </c>
      <c r="N63" s="75" t="s">
        <v>743</v>
      </c>
      <c r="O63" s="75" t="s">
        <v>743</v>
      </c>
    </row>
    <row r="64" spans="1:15">
      <c r="A64" t="s">
        <v>587</v>
      </c>
      <c r="B64" s="65">
        <v>365</v>
      </c>
      <c r="C64" s="138">
        <f t="shared" si="1"/>
        <v>109.5</v>
      </c>
      <c r="D64" s="138">
        <f t="shared" si="6"/>
        <v>136.875</v>
      </c>
      <c r="E64" t="str">
        <f t="shared" si="0"/>
        <v>BDD37.5x36</v>
      </c>
      <c r="F64" t="str" cm="1">
        <f t="array" ref="F64">_xlfn.LET(
_xlpm.p,E64,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Dummy Door</v>
      </c>
      <c r="G64" t="str" cm="1">
        <f t="array" ref="G64">_xlfn.LET(
_xlpm.p,E64,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 End</v>
      </c>
      <c r="H64" s="75" t="s">
        <v>743</v>
      </c>
      <c r="I64" s="68" t="str" cm="1">
        <f t="array" ref="I64">_xlfn.LET(
_xlpm.p,E64,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64" s="68" t="s">
        <v>758</v>
      </c>
      <c r="K64">
        <v>37.5</v>
      </c>
      <c r="L64">
        <v>36</v>
      </c>
      <c r="M64">
        <f t="shared" si="5"/>
        <v>0.75</v>
      </c>
      <c r="N64" s="75" t="s">
        <v>743</v>
      </c>
      <c r="O64" s="75" t="s">
        <v>743</v>
      </c>
    </row>
    <row r="65" spans="1:15">
      <c r="A65" t="s">
        <v>588</v>
      </c>
      <c r="B65" s="65">
        <v>535</v>
      </c>
      <c r="C65" s="138">
        <f t="shared" si="1"/>
        <v>160.5</v>
      </c>
      <c r="D65" s="138">
        <f t="shared" si="6"/>
        <v>200.625</v>
      </c>
      <c r="E65" t="str">
        <f t="shared" si="0"/>
        <v>BDD49.75*36</v>
      </c>
      <c r="F65" t="str" cm="1">
        <f t="array" ref="F65">_xlfn.LET(
_xlpm.p,E65,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Dummy Door</v>
      </c>
      <c r="G65" t="str" cm="1">
        <f t="array" ref="G65">_xlfn.LET(
_xlpm.p,E65,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 End</v>
      </c>
      <c r="H65" s="75" t="s">
        <v>743</v>
      </c>
      <c r="I65" s="68" t="str" cm="1">
        <f t="array" ref="I65">_xlfn.LET(
_xlpm.p,E65,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65" s="68" t="s">
        <v>758</v>
      </c>
      <c r="K65">
        <v>49.75</v>
      </c>
      <c r="L65">
        <v>36</v>
      </c>
      <c r="M65">
        <f t="shared" si="5"/>
        <v>0.75</v>
      </c>
      <c r="N65" s="75" t="s">
        <v>743</v>
      </c>
      <c r="O65" s="75" t="s">
        <v>743</v>
      </c>
    </row>
    <row r="66" spans="1:15">
      <c r="A66" t="s">
        <v>398</v>
      </c>
      <c r="B66" s="65">
        <v>240</v>
      </c>
      <c r="C66" s="138">
        <f t="shared" si="1"/>
        <v>72</v>
      </c>
      <c r="D66" s="138"/>
      <c r="E66" t="str">
        <f t="shared" ref="E66:E129" si="7">_xlfn.TEXTAFTER(A66,"-")</f>
        <v>CM2.5X120</v>
      </c>
      <c r="F66" t="str" cm="1">
        <f t="array" ref="F66">_xlfn.LET(
_xlpm.p,E66,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Fillers</v>
      </c>
      <c r="G66" t="str" cm="1">
        <f t="array" ref="G66">_xlfn.LET(
_xlpm.p,E66,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Filler , mais quel type?</v>
      </c>
      <c r="I66" s="82" t="str" cm="1">
        <f t="array" ref="I66">_xlfn.LET(
_xlpm.p,E66,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66" s="82"/>
      <c r="N66" s="75" t="s">
        <v>743</v>
      </c>
      <c r="O66" s="75" t="s">
        <v>743</v>
      </c>
    </row>
    <row r="67" spans="1:15">
      <c r="A67" t="s">
        <v>397</v>
      </c>
      <c r="B67" s="65">
        <v>268</v>
      </c>
      <c r="C67" s="138">
        <f t="shared" ref="C67:C130" si="8">B67*0.3</f>
        <v>80.399999999999991</v>
      </c>
      <c r="D67" s="138"/>
      <c r="E67" t="str">
        <f t="shared" si="7"/>
        <v>CM2.5X126</v>
      </c>
      <c r="F67" t="str" cm="1">
        <f t="array" ref="F67">_xlfn.LET(
_xlpm.p,E67,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Fillers</v>
      </c>
      <c r="G67" t="str" cm="1">
        <f t="array" ref="G67">_xlfn.LET(
_xlpm.p,E67,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Filler , mais quel type?</v>
      </c>
      <c r="I67" s="82" t="str" cm="1">
        <f t="array" ref="I67">_xlfn.LET(
_xlpm.p,E67,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67" s="82"/>
      <c r="N67" s="75" t="s">
        <v>743</v>
      </c>
      <c r="O67" s="75" t="s">
        <v>743</v>
      </c>
    </row>
    <row r="68" spans="1:15">
      <c r="A68" t="s">
        <v>399</v>
      </c>
      <c r="B68" s="65">
        <v>164</v>
      </c>
      <c r="C68" s="138">
        <f t="shared" si="8"/>
        <v>49.199999999999996</v>
      </c>
      <c r="D68" s="138"/>
      <c r="E68" t="str">
        <f t="shared" si="7"/>
        <v>CM2.5X96</v>
      </c>
      <c r="F68" t="str" cm="1">
        <f t="array" ref="F68">_xlfn.LET(
_xlpm.p,E68,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Fillers</v>
      </c>
      <c r="G68" t="str" cm="1">
        <f t="array" ref="G68">_xlfn.LET(
_xlpm.p,E68,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Filler , mais quel type?</v>
      </c>
      <c r="I68" s="82" t="str" cm="1">
        <f t="array" ref="I68">_xlfn.LET(
_xlpm.p,E68,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68" s="82"/>
      <c r="N68" s="75" t="s">
        <v>743</v>
      </c>
      <c r="O68" s="75" t="s">
        <v>743</v>
      </c>
    </row>
    <row r="69" spans="1:15">
      <c r="A69" t="s">
        <v>560</v>
      </c>
      <c r="B69" s="65">
        <v>114</v>
      </c>
      <c r="C69" s="138">
        <f t="shared" si="8"/>
        <v>34.199999999999996</v>
      </c>
      <c r="D69" s="138">
        <f>C69*1.35</f>
        <v>46.169999999999995</v>
      </c>
      <c r="E69" t="str">
        <f t="shared" si="7"/>
        <v>WF1.5120</v>
      </c>
      <c r="F69" t="str" cm="1">
        <f t="array" ref="F69">_xlfn.LET(
_xlpm.p,E69,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Fillers</v>
      </c>
      <c r="G69" t="str" cm="1">
        <f t="array" ref="G69">_xlfn.LET(
_xlpm.p,E69,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Base/Wall/Tall Filler</v>
      </c>
      <c r="I69" s="68" t="str" cm="1">
        <f t="array" ref="I69">_xlfn.LET(
_xlpm.p,E69,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69" s="68" t="s">
        <v>758</v>
      </c>
      <c r="K69">
        <v>1.5</v>
      </c>
      <c r="L69">
        <v>120</v>
      </c>
      <c r="M69">
        <f t="shared" ref="M69:M80" si="9">3/4</f>
        <v>0.75</v>
      </c>
      <c r="N69" s="75" t="s">
        <v>743</v>
      </c>
      <c r="O69" s="75" t="s">
        <v>743</v>
      </c>
    </row>
    <row r="70" spans="1:15">
      <c r="A70" t="s">
        <v>559</v>
      </c>
      <c r="B70" s="65">
        <v>83</v>
      </c>
      <c r="C70" s="138">
        <f t="shared" si="8"/>
        <v>24.9</v>
      </c>
      <c r="D70" s="138">
        <f t="shared" ref="D70:D80" si="10">C70*1.35</f>
        <v>33.615000000000002</v>
      </c>
      <c r="E70" t="str">
        <f t="shared" si="7"/>
        <v>WF1.596</v>
      </c>
      <c r="F70" t="str" cm="1">
        <f t="array" ref="F70">_xlfn.LET(
_xlpm.p,E70,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Fillers</v>
      </c>
      <c r="G70" t="str" cm="1">
        <f t="array" ref="G70">_xlfn.LET(
_xlpm.p,E70,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Base/Wall/Tall Filler</v>
      </c>
      <c r="I70" s="68" t="str" cm="1">
        <f t="array" ref="I70">_xlfn.LET(
_xlpm.p,E70,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70" s="68" t="s">
        <v>758</v>
      </c>
      <c r="K70">
        <v>1.5</v>
      </c>
      <c r="L70">
        <v>96</v>
      </c>
      <c r="M70">
        <f t="shared" si="9"/>
        <v>0.75</v>
      </c>
      <c r="N70" s="75" t="s">
        <v>743</v>
      </c>
      <c r="O70" s="75" t="s">
        <v>743</v>
      </c>
    </row>
    <row r="71" spans="1:15">
      <c r="A71" t="s">
        <v>549</v>
      </c>
      <c r="B71" s="65">
        <v>47</v>
      </c>
      <c r="C71" s="138">
        <f t="shared" si="8"/>
        <v>14.1</v>
      </c>
      <c r="D71" s="138">
        <f t="shared" si="10"/>
        <v>19.035</v>
      </c>
      <c r="E71" t="str">
        <f t="shared" si="7"/>
        <v>WF330</v>
      </c>
      <c r="F71" t="str" cm="1">
        <f t="array" ref="F71">_xlfn.LET(
_xlpm.p,E71,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Fillers</v>
      </c>
      <c r="G71" t="str" cm="1">
        <f t="array" ref="G71">_xlfn.LET(
_xlpm.p,E71,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Base/Wall/Tall Filler</v>
      </c>
      <c r="I71" s="68" t="str" cm="1">
        <f t="array" ref="I71">_xlfn.LET(
_xlpm.p,E71,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71" s="68" t="s">
        <v>758</v>
      </c>
      <c r="K71">
        <v>3</v>
      </c>
      <c r="L71">
        <v>30</v>
      </c>
      <c r="M71">
        <f t="shared" si="9"/>
        <v>0.75</v>
      </c>
      <c r="N71" s="75" t="s">
        <v>743</v>
      </c>
      <c r="O71" s="75" t="s">
        <v>743</v>
      </c>
    </row>
    <row r="72" spans="1:15">
      <c r="A72" t="s">
        <v>550</v>
      </c>
      <c r="B72" s="65">
        <v>51</v>
      </c>
      <c r="C72" s="138">
        <f t="shared" si="8"/>
        <v>15.299999999999999</v>
      </c>
      <c r="D72" s="138">
        <f t="shared" si="10"/>
        <v>20.655000000000001</v>
      </c>
      <c r="E72" t="str">
        <f t="shared" si="7"/>
        <v>WF336</v>
      </c>
      <c r="F72" t="str" cm="1">
        <f t="array" ref="F72">_xlfn.LET(
_xlpm.p,E72,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Fillers</v>
      </c>
      <c r="G72" t="str" cm="1">
        <f t="array" ref="G72">_xlfn.LET(
_xlpm.p,E72,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Base/Wall/Tall Filler</v>
      </c>
      <c r="I72" s="68" t="str" cm="1">
        <f t="array" ref="I72">_xlfn.LET(
_xlpm.p,E72,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72" s="68" t="s">
        <v>758</v>
      </c>
      <c r="K72">
        <v>3</v>
      </c>
      <c r="L72">
        <v>36</v>
      </c>
      <c r="M72">
        <f t="shared" si="9"/>
        <v>0.75</v>
      </c>
      <c r="N72" s="75" t="s">
        <v>743</v>
      </c>
      <c r="O72" s="75" t="s">
        <v>743</v>
      </c>
    </row>
    <row r="73" spans="1:15">
      <c r="A73" t="s">
        <v>551</v>
      </c>
      <c r="B73" s="65">
        <v>96</v>
      </c>
      <c r="C73" s="138">
        <f t="shared" si="8"/>
        <v>28.799999999999997</v>
      </c>
      <c r="D73" s="138">
        <f t="shared" si="10"/>
        <v>38.879999999999995</v>
      </c>
      <c r="E73" t="str">
        <f t="shared" si="7"/>
        <v>WF342</v>
      </c>
      <c r="F73" t="str" cm="1">
        <f t="array" ref="F73">_xlfn.LET(
_xlpm.p,E73,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Fillers</v>
      </c>
      <c r="G73" t="str" cm="1">
        <f t="array" ref="G73">_xlfn.LET(
_xlpm.p,E73,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Base/Wall/Tall Filler</v>
      </c>
      <c r="I73" s="68" t="str" cm="1">
        <f t="array" ref="I73">_xlfn.LET(
_xlpm.p,E73,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73" s="68" t="s">
        <v>758</v>
      </c>
      <c r="K73">
        <v>3</v>
      </c>
      <c r="L73">
        <v>42</v>
      </c>
      <c r="M73">
        <f t="shared" si="9"/>
        <v>0.75</v>
      </c>
      <c r="N73" s="75" t="s">
        <v>743</v>
      </c>
      <c r="O73" s="75" t="s">
        <v>743</v>
      </c>
    </row>
    <row r="74" spans="1:15">
      <c r="A74" t="s">
        <v>552</v>
      </c>
      <c r="B74" s="65">
        <v>115</v>
      </c>
      <c r="C74" s="138">
        <f t="shared" si="8"/>
        <v>34.5</v>
      </c>
      <c r="D74" s="138">
        <f t="shared" si="10"/>
        <v>46.575000000000003</v>
      </c>
      <c r="E74" t="str">
        <f t="shared" si="7"/>
        <v>WF348</v>
      </c>
      <c r="F74" t="str" cm="1">
        <f t="array" ref="F74">_xlfn.LET(
_xlpm.p,E74,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Fillers</v>
      </c>
      <c r="G74" t="str" cm="1">
        <f t="array" ref="G74">_xlfn.LET(
_xlpm.p,E74,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Base/Wall/Tall Filler</v>
      </c>
      <c r="I74" s="68" t="str" cm="1">
        <f t="array" ref="I74">_xlfn.LET(
_xlpm.p,E74,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74" s="68" t="s">
        <v>758</v>
      </c>
      <c r="K74">
        <v>3</v>
      </c>
      <c r="L74">
        <v>48</v>
      </c>
      <c r="M74">
        <f t="shared" si="9"/>
        <v>0.75</v>
      </c>
      <c r="N74" s="75" t="s">
        <v>743</v>
      </c>
      <c r="O74" s="75" t="s">
        <v>743</v>
      </c>
    </row>
    <row r="75" spans="1:15">
      <c r="A75" t="s">
        <v>553</v>
      </c>
      <c r="B75" s="65">
        <v>133</v>
      </c>
      <c r="C75" s="138">
        <f t="shared" si="8"/>
        <v>39.9</v>
      </c>
      <c r="D75" s="138">
        <f t="shared" si="10"/>
        <v>53.865000000000002</v>
      </c>
      <c r="E75" t="str">
        <f t="shared" si="7"/>
        <v>WF396</v>
      </c>
      <c r="F75" t="str" cm="1">
        <f t="array" ref="F75">_xlfn.LET(
_xlpm.p,E75,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Fillers</v>
      </c>
      <c r="G75" t="str" cm="1">
        <f t="array" ref="G75">_xlfn.LET(
_xlpm.p,E75,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Base/Wall/Tall Filler</v>
      </c>
      <c r="I75" s="68" t="str" cm="1">
        <f t="array" ref="I75">_xlfn.LET(
_xlpm.p,E75,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75" s="68" t="s">
        <v>758</v>
      </c>
      <c r="K75">
        <v>3</v>
      </c>
      <c r="L75">
        <v>96</v>
      </c>
      <c r="M75">
        <f t="shared" si="9"/>
        <v>0.75</v>
      </c>
      <c r="N75" s="75" t="s">
        <v>743</v>
      </c>
      <c r="O75" s="75" t="s">
        <v>743</v>
      </c>
    </row>
    <row r="76" spans="1:15">
      <c r="A76" t="s">
        <v>554</v>
      </c>
      <c r="B76" s="65">
        <v>182</v>
      </c>
      <c r="C76" s="138">
        <f t="shared" si="8"/>
        <v>54.6</v>
      </c>
      <c r="D76" s="138">
        <f t="shared" si="10"/>
        <v>73.710000000000008</v>
      </c>
      <c r="E76" t="str">
        <f t="shared" si="7"/>
        <v>WF3X120</v>
      </c>
      <c r="F76" t="str" cm="1">
        <f t="array" ref="F76">_xlfn.LET(
_xlpm.p,E76,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Fillers</v>
      </c>
      <c r="G76" t="str" cm="1">
        <f t="array" ref="G76">_xlfn.LET(
_xlpm.p,E76,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Base/Wall/Tall Filler</v>
      </c>
      <c r="I76" s="68" t="str" cm="1">
        <f t="array" ref="I76">_xlfn.LET(
_xlpm.p,E76,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76" s="68" t="s">
        <v>758</v>
      </c>
      <c r="K76">
        <v>3</v>
      </c>
      <c r="L76">
        <v>120</v>
      </c>
      <c r="M76">
        <f t="shared" si="9"/>
        <v>0.75</v>
      </c>
      <c r="N76" s="75" t="s">
        <v>743</v>
      </c>
      <c r="O76" s="75" t="s">
        <v>743</v>
      </c>
    </row>
    <row r="77" spans="1:15">
      <c r="A77" t="s">
        <v>558</v>
      </c>
      <c r="B77" s="65">
        <v>357</v>
      </c>
      <c r="C77" s="138">
        <f t="shared" si="8"/>
        <v>107.1</v>
      </c>
      <c r="D77" s="138">
        <f t="shared" si="10"/>
        <v>144.58500000000001</v>
      </c>
      <c r="E77" t="str">
        <f t="shared" si="7"/>
        <v>WF6*126</v>
      </c>
      <c r="F77" t="str" cm="1">
        <f t="array" ref="F77">_xlfn.LET(
_xlpm.p,E77,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Fillers</v>
      </c>
      <c r="G77" t="str" cm="1">
        <f t="array" ref="G77">_xlfn.LET(
_xlpm.p,E77,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Base/Wall/Tall Filler</v>
      </c>
      <c r="I77" s="68" t="str" cm="1">
        <f t="array" ref="I77">_xlfn.LET(
_xlpm.p,E77,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77" s="68" t="s">
        <v>758</v>
      </c>
      <c r="K77">
        <v>6</v>
      </c>
      <c r="L77">
        <v>126</v>
      </c>
      <c r="M77">
        <f t="shared" si="9"/>
        <v>0.75</v>
      </c>
      <c r="N77" s="75" t="s">
        <v>743</v>
      </c>
      <c r="O77" s="75" t="s">
        <v>743</v>
      </c>
    </row>
    <row r="78" spans="1:15">
      <c r="A78" t="s">
        <v>555</v>
      </c>
      <c r="B78" s="65">
        <v>98</v>
      </c>
      <c r="C78" s="138">
        <f t="shared" si="8"/>
        <v>29.4</v>
      </c>
      <c r="D78" s="138">
        <f t="shared" si="10"/>
        <v>39.69</v>
      </c>
      <c r="E78" t="str">
        <f t="shared" si="7"/>
        <v>WF636</v>
      </c>
      <c r="F78" t="str" cm="1">
        <f t="array" ref="F78">_xlfn.LET(
_xlpm.p,E78,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Fillers</v>
      </c>
      <c r="G78" t="str" cm="1">
        <f t="array" ref="G78">_xlfn.LET(
_xlpm.p,E78,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Base/Wall/Tall Filler</v>
      </c>
      <c r="I78" s="68" t="str" cm="1">
        <f t="array" ref="I78">_xlfn.LET(
_xlpm.p,E78,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78" s="68" t="s">
        <v>758</v>
      </c>
      <c r="K78">
        <v>6</v>
      </c>
      <c r="L78">
        <v>36</v>
      </c>
      <c r="M78">
        <f t="shared" si="9"/>
        <v>0.75</v>
      </c>
      <c r="N78" s="75" t="s">
        <v>743</v>
      </c>
      <c r="O78" s="75" t="s">
        <v>743</v>
      </c>
    </row>
    <row r="79" spans="1:15">
      <c r="A79" t="s">
        <v>556</v>
      </c>
      <c r="B79" s="65">
        <v>278</v>
      </c>
      <c r="C79" s="138">
        <f t="shared" si="8"/>
        <v>83.399999999999991</v>
      </c>
      <c r="D79" s="138">
        <f t="shared" si="10"/>
        <v>112.58999999999999</v>
      </c>
      <c r="E79" t="str">
        <f t="shared" si="7"/>
        <v>WF696</v>
      </c>
      <c r="F79" t="str" cm="1">
        <f t="array" ref="F79">_xlfn.LET(
_xlpm.p,E79,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Fillers</v>
      </c>
      <c r="G79" t="str" cm="1">
        <f t="array" ref="G79">_xlfn.LET(
_xlpm.p,E79,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Base/Wall/Tall Filler</v>
      </c>
      <c r="I79" s="68" t="str" cm="1">
        <f t="array" ref="I79">_xlfn.LET(
_xlpm.p,E79,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79" s="68" t="s">
        <v>758</v>
      </c>
      <c r="K79">
        <v>6</v>
      </c>
      <c r="L79">
        <v>96</v>
      </c>
      <c r="M79">
        <f t="shared" si="9"/>
        <v>0.75</v>
      </c>
      <c r="N79" s="75" t="s">
        <v>743</v>
      </c>
      <c r="O79" s="75" t="s">
        <v>743</v>
      </c>
    </row>
    <row r="80" spans="1:15">
      <c r="A80" t="s">
        <v>557</v>
      </c>
      <c r="B80" s="65">
        <v>339</v>
      </c>
      <c r="C80" s="138">
        <f t="shared" si="8"/>
        <v>101.7</v>
      </c>
      <c r="D80" s="138">
        <f t="shared" si="10"/>
        <v>137.29500000000002</v>
      </c>
      <c r="E80" t="str">
        <f t="shared" si="7"/>
        <v>WF6X120</v>
      </c>
      <c r="F80" t="str" cm="1">
        <f t="array" ref="F80">_xlfn.LET(
_xlpm.p,E80,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Fillers</v>
      </c>
      <c r="G80" t="str" cm="1">
        <f t="array" ref="G80">_xlfn.LET(
_xlpm.p,E80,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Base/Wall/Tall Filler</v>
      </c>
      <c r="I80" s="68" t="str" cm="1">
        <f t="array" ref="I80">_xlfn.LET(
_xlpm.p,E80,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80" s="68" t="s">
        <v>758</v>
      </c>
      <c r="K80">
        <v>6</v>
      </c>
      <c r="L80">
        <v>120</v>
      </c>
      <c r="M80">
        <f t="shared" si="9"/>
        <v>0.75</v>
      </c>
      <c r="N80" s="75" t="s">
        <v>743</v>
      </c>
      <c r="O80" s="75" t="s">
        <v>743</v>
      </c>
    </row>
    <row r="81" spans="1:15">
      <c r="A81" t="s">
        <v>426</v>
      </c>
      <c r="B81" s="65">
        <v>223</v>
      </c>
      <c r="C81" s="138">
        <f t="shared" si="8"/>
        <v>66.899999999999991</v>
      </c>
      <c r="D81" s="138"/>
      <c r="E81" t="str">
        <f t="shared" si="7"/>
        <v>IBP9618</v>
      </c>
      <c r="F81" t="str" cm="1">
        <f t="array" ref="F81">_xlfn.LET(
_xlpm.p,E81,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Island Back Panel</v>
      </c>
      <c r="G81" cm="1">
        <f t="array" ref="G81">_xlfn.LET(
_xlpm.p,E81,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81" s="82" t="str" cm="1">
        <f t="array" ref="I81">_xlfn.LET(
_xlpm.p,E81,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81" s="82"/>
      <c r="N81" t="str">
        <f t="shared" ref="N81:N130" si="11">IF(ISNUMBER(SEARCH("Cabinet",F81))=FALSE,"N/A",IF(K81&gt;=24,2,1))</f>
        <v>N/A</v>
      </c>
      <c r="O81" t="str">
        <f t="shared" ref="O81:O130" si="12">IF(ISNUMBER(SEARCH("Cabinet",F81))=FALSE,"N/A",
    IF(ISNUMBER(SEARCH("DB",E81)),
        IF(ISNUMBER(SEARCH("-2",E81)),2,3),
        IF(ISNUMBER(SEARCH("-PO",E81)),1,
            IF(LEFT(E81,1)="B",1,0)
        )
    )
)</f>
        <v>N/A</v>
      </c>
    </row>
    <row r="82" spans="1:15">
      <c r="A82" t="s">
        <v>425</v>
      </c>
      <c r="B82" s="65">
        <v>445</v>
      </c>
      <c r="C82" s="138">
        <f t="shared" si="8"/>
        <v>133.5</v>
      </c>
      <c r="D82" s="138"/>
      <c r="E82" t="str">
        <f t="shared" si="7"/>
        <v xml:space="preserve">IBP9636 </v>
      </c>
      <c r="F82" t="str" cm="1">
        <f t="array" ref="F82">_xlfn.LET(
_xlpm.p,E82,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Island Back Panel</v>
      </c>
      <c r="G82" cm="1">
        <f t="array" ref="G82">_xlfn.LET(
_xlpm.p,E82,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82" s="82" t="str" cm="1">
        <f t="array" ref="I82">_xlfn.LET(
_xlpm.p,E82,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82" s="82"/>
      <c r="N82" t="str">
        <f t="shared" si="11"/>
        <v>N/A</v>
      </c>
      <c r="O82" t="str">
        <f t="shared" si="12"/>
        <v>N/A</v>
      </c>
    </row>
    <row r="83" spans="1:15">
      <c r="A83" t="s">
        <v>605</v>
      </c>
      <c r="B83" s="65">
        <v>120</v>
      </c>
      <c r="C83" s="138">
        <f t="shared" si="8"/>
        <v>36</v>
      </c>
      <c r="D83" s="138"/>
      <c r="E83" t="str">
        <f t="shared" si="7"/>
        <v>ISP25.75X36</v>
      </c>
      <c r="F83" t="str" cm="1">
        <f t="array" ref="F83">_xlfn.LET(
_xlpm.p,E83,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Island Skin Panel probablement</v>
      </c>
      <c r="G83" cm="1">
        <f t="array" ref="G83">_xlfn.LET(
_xlpm.p,E83,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83" s="82" t="str" cm="1">
        <f t="array" ref="I83">_xlfn.LET(
_xlpm.p,E83,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83" s="82"/>
      <c r="N83" t="str">
        <f t="shared" si="11"/>
        <v>N/A</v>
      </c>
      <c r="O83" t="str">
        <f t="shared" si="12"/>
        <v>N/A</v>
      </c>
    </row>
    <row r="84" spans="1:15">
      <c r="A84" t="s">
        <v>606</v>
      </c>
      <c r="B84" s="65">
        <v>175</v>
      </c>
      <c r="C84" s="138">
        <f t="shared" si="8"/>
        <v>52.5</v>
      </c>
      <c r="D84" s="138"/>
      <c r="E84" t="str">
        <f t="shared" si="7"/>
        <v>ISP37.75X36</v>
      </c>
      <c r="F84" t="str" cm="1">
        <f t="array" ref="F84">_xlfn.LET(
_xlpm.p,E84,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Island Skin Panel probablement</v>
      </c>
      <c r="G84" cm="1">
        <f t="array" ref="G84">_xlfn.LET(
_xlpm.p,E84,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84" s="82" t="str" cm="1">
        <f t="array" ref="I84">_xlfn.LET(
_xlpm.p,E84,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84" s="82"/>
      <c r="N84" t="str">
        <f t="shared" si="11"/>
        <v>N/A</v>
      </c>
      <c r="O84" t="str">
        <f t="shared" si="12"/>
        <v>N/A</v>
      </c>
    </row>
    <row r="85" spans="1:15">
      <c r="A85" t="s">
        <v>436</v>
      </c>
      <c r="B85" s="65">
        <v>189</v>
      </c>
      <c r="C85" s="138">
        <f t="shared" si="8"/>
        <v>56.699999999999996</v>
      </c>
      <c r="D85" s="138"/>
      <c r="E85" t="str">
        <f t="shared" si="7"/>
        <v>BM33*6</v>
      </c>
      <c r="F85" t="str" cm="1">
        <f t="array" ref="F85">_xlfn.LET(
_xlpm.p,E85,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Moldings</v>
      </c>
      <c r="G85" t="str" cm="1">
        <f t="array" ref="G85">_xlfn.LET(
_xlpm.p,E85,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 molding</v>
      </c>
      <c r="I85" s="68" t="str" cm="1">
        <f t="array" ref="I85">_xlfn.LET(
_xlpm.p,E85,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85" s="82"/>
      <c r="N85" s="60" t="s">
        <v>743</v>
      </c>
      <c r="O85" s="60" t="s">
        <v>743</v>
      </c>
    </row>
    <row r="86" spans="1:15">
      <c r="A86" t="s">
        <v>435</v>
      </c>
      <c r="B86" s="65">
        <v>276</v>
      </c>
      <c r="C86" s="138">
        <f t="shared" si="8"/>
        <v>82.8</v>
      </c>
      <c r="D86" s="138"/>
      <c r="E86" t="str">
        <f t="shared" si="7"/>
        <v>BM96</v>
      </c>
      <c r="F86" t="str" cm="1">
        <f t="array" ref="F86">_xlfn.LET(
_xlpm.p,E86,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Moldings</v>
      </c>
      <c r="G86" t="str" cm="1">
        <f t="array" ref="G86">_xlfn.LET(
_xlpm.p,E86,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 molding</v>
      </c>
      <c r="I86" s="68" t="str" cm="1">
        <f t="array" ref="I86">_xlfn.LET(
_xlpm.p,E86,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86" s="82"/>
      <c r="N86" t="str">
        <f t="shared" si="11"/>
        <v>N/A</v>
      </c>
      <c r="O86" t="str">
        <f t="shared" si="12"/>
        <v>N/A</v>
      </c>
    </row>
    <row r="87" spans="1:15">
      <c r="A87" t="s">
        <v>430</v>
      </c>
      <c r="B87" s="65">
        <v>54</v>
      </c>
      <c r="C87" s="138">
        <f t="shared" si="8"/>
        <v>16.2</v>
      </c>
      <c r="D87" s="138"/>
      <c r="E87" t="str">
        <f t="shared" si="7"/>
        <v>OCM8</v>
      </c>
      <c r="F87" t="str" cm="1">
        <f t="array" ref="F87">_xlfn.LET(
_xlpm.p,E87,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Moldings</v>
      </c>
      <c r="G87" t="str" cm="1">
        <f t="array" ref="G87">_xlfn.LET(
_xlpm.p,E87,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Outside Corner Molding</v>
      </c>
      <c r="H87" s="75" t="s">
        <v>743</v>
      </c>
      <c r="I87" s="68" t="str" cm="1">
        <f t="array" ref="I87">_xlfn.LET(
_xlpm.p,E87,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87" s="68" t="s">
        <v>758</v>
      </c>
      <c r="K87">
        <v>96</v>
      </c>
      <c r="L87">
        <f>3/4</f>
        <v>0.75</v>
      </c>
      <c r="M87">
        <f>3/4</f>
        <v>0.75</v>
      </c>
      <c r="N87" t="str">
        <f t="shared" si="11"/>
        <v>N/A</v>
      </c>
      <c r="O87" t="str">
        <f t="shared" si="12"/>
        <v>N/A</v>
      </c>
    </row>
    <row r="88" spans="1:15">
      <c r="A88" t="s">
        <v>433</v>
      </c>
      <c r="B88" s="65">
        <v>51</v>
      </c>
      <c r="C88" s="138">
        <f t="shared" si="8"/>
        <v>15.299999999999999</v>
      </c>
      <c r="D88" s="138"/>
      <c r="E88" t="str">
        <f t="shared" si="7"/>
        <v>SM1.5</v>
      </c>
      <c r="F88" t="str" cm="1">
        <f t="array" ref="F88">_xlfn.LET(
_xlpm.p,E88,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Moldings</v>
      </c>
      <c r="G88" t="str" cm="1">
        <f t="array" ref="G88">_xlfn.LET(
_xlpm.p,E88,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Scribe molding</v>
      </c>
      <c r="I88" s="68" t="str" cm="1">
        <f t="array" ref="I88">_xlfn.LET(
_xlpm.p,E88,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88" s="82"/>
      <c r="K88">
        <v>96</v>
      </c>
      <c r="L88">
        <v>1.5</v>
      </c>
      <c r="M88">
        <f>3/8</f>
        <v>0.375</v>
      </c>
      <c r="N88" s="60" t="s">
        <v>743</v>
      </c>
      <c r="O88" s="60" t="s">
        <v>743</v>
      </c>
    </row>
    <row r="89" spans="1:15">
      <c r="A89" t="s">
        <v>434</v>
      </c>
      <c r="B89" s="65">
        <v>79</v>
      </c>
      <c r="C89" s="138">
        <f t="shared" si="8"/>
        <v>23.7</v>
      </c>
      <c r="D89" s="138"/>
      <c r="E89" t="str">
        <f t="shared" si="7"/>
        <v>SM1.5X120</v>
      </c>
      <c r="F89" t="str" cm="1">
        <f t="array" ref="F89">_xlfn.LET(
_xlpm.p,E89,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Moldings</v>
      </c>
      <c r="G89" t="str" cm="1">
        <f t="array" ref="G89">_xlfn.LET(
_xlpm.p,E89,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Scribe molding</v>
      </c>
      <c r="I89" s="68" t="str" cm="1">
        <f t="array" ref="I89">_xlfn.LET(
_xlpm.p,E89,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89" s="82"/>
      <c r="K89">
        <v>120</v>
      </c>
      <c r="L89">
        <v>1.5</v>
      </c>
      <c r="M89">
        <f>3/8</f>
        <v>0.375</v>
      </c>
      <c r="N89" t="str">
        <f t="shared" si="11"/>
        <v>N/A</v>
      </c>
      <c r="O89" t="str">
        <f t="shared" si="12"/>
        <v>N/A</v>
      </c>
    </row>
    <row r="90" spans="1:15">
      <c r="A90" t="s">
        <v>431</v>
      </c>
      <c r="B90" s="65">
        <v>168</v>
      </c>
      <c r="C90" s="138">
        <f t="shared" si="8"/>
        <v>50.4</v>
      </c>
      <c r="D90" s="138"/>
      <c r="E90" t="str">
        <f t="shared" si="7"/>
        <v>DWR</v>
      </c>
      <c r="F90" t="str" cm="1">
        <f t="array" ref="F90">_xlfn.LET(
_xlpm.p,E90,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Panel</v>
      </c>
      <c r="G90" t="str" cm="1">
        <f t="array" ref="G90">_xlfn.LET(
_xlpm.p,E90,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Dishwasher Return Panel</v>
      </c>
      <c r="H90" s="75" t="s">
        <v>743</v>
      </c>
      <c r="I90" s="68" t="str" cm="1">
        <f t="array" ref="I90">_xlfn.LET(
_xlpm.p,E90,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90" s="68" t="s">
        <v>758</v>
      </c>
      <c r="K90">
        <v>3</v>
      </c>
      <c r="L90">
        <v>34.5</v>
      </c>
      <c r="M90">
        <v>24</v>
      </c>
      <c r="N90" t="str">
        <f t="shared" si="11"/>
        <v>N/A</v>
      </c>
      <c r="O90" t="str">
        <f t="shared" si="12"/>
        <v>N/A</v>
      </c>
    </row>
    <row r="91" spans="1:15">
      <c r="A91" t="s">
        <v>432</v>
      </c>
      <c r="B91" s="65">
        <v>482</v>
      </c>
      <c r="C91" s="138">
        <f t="shared" si="8"/>
        <v>144.6</v>
      </c>
      <c r="D91" s="138"/>
      <c r="E91" t="str">
        <f t="shared" si="7"/>
        <v>RRP103.527 3/4</v>
      </c>
      <c r="F91" t="str" cm="1">
        <f t="array" ref="F91">_xlfn.LET(
_xlpm.p,E91,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Panel</v>
      </c>
      <c r="G91" t="str" cm="1">
        <f t="array" ref="G91">_xlfn.LET(
_xlpm.p,E91,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Refrigerator Return Panel</v>
      </c>
      <c r="H91" s="75" t="s">
        <v>743</v>
      </c>
      <c r="I91" s="68" t="str" cm="1">
        <f t="array" ref="I91">_xlfn.LET(
_xlpm.p,E91,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91" s="68" t="s">
        <v>758</v>
      </c>
      <c r="K91">
        <f>3/4</f>
        <v>0.75</v>
      </c>
      <c r="L91">
        <v>103.5</v>
      </c>
      <c r="M91">
        <v>27</v>
      </c>
      <c r="N91" t="str">
        <f t="shared" si="11"/>
        <v>N/A</v>
      </c>
      <c r="O91" t="str">
        <f t="shared" si="12"/>
        <v>N/A</v>
      </c>
    </row>
    <row r="92" spans="1:15">
      <c r="A92" t="s">
        <v>604</v>
      </c>
      <c r="B92" s="65">
        <v>335</v>
      </c>
      <c r="C92" s="138">
        <f t="shared" si="8"/>
        <v>100.5</v>
      </c>
      <c r="D92" s="138"/>
      <c r="E92" t="str">
        <f t="shared" si="7"/>
        <v>RRP9627 7/8</v>
      </c>
      <c r="F92" t="str" cm="1">
        <f t="array" ref="F92">_xlfn.LET(
_xlpm.p,E92,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Panel</v>
      </c>
      <c r="G92" t="str" cm="1">
        <f t="array" ref="G92">_xlfn.LET(
_xlpm.p,E92,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Refrigerator Return Panel</v>
      </c>
      <c r="H92" s="75" t="s">
        <v>743</v>
      </c>
      <c r="I92" s="68" t="str" cm="1">
        <f t="array" ref="I92">_xlfn.LET(
_xlpm.p,E92,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92" s="68" t="s">
        <v>758</v>
      </c>
      <c r="K92">
        <f>7/8</f>
        <v>0.875</v>
      </c>
      <c r="L92">
        <v>96</v>
      </c>
      <c r="M92">
        <v>27</v>
      </c>
      <c r="N92" s="60" t="s">
        <v>743</v>
      </c>
      <c r="O92" s="60" t="s">
        <v>743</v>
      </c>
    </row>
    <row r="93" spans="1:15">
      <c r="A93" t="s">
        <v>440</v>
      </c>
      <c r="B93" s="65">
        <v>47</v>
      </c>
      <c r="C93" s="138">
        <f t="shared" si="8"/>
        <v>14.1</v>
      </c>
      <c r="D93" s="138">
        <f>C93*1.36</f>
        <v>19.176000000000002</v>
      </c>
      <c r="E93" t="str">
        <f t="shared" si="7"/>
        <v>TK8</v>
      </c>
      <c r="F93" t="str" cm="1">
        <f t="array" ref="F93">_xlfn.LET(
_xlpm.p,E93,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Toe Kick</v>
      </c>
      <c r="G93" cm="1">
        <f t="array" ref="G93">_xlfn.LET(
_xlpm.p,E93,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93" s="68" t="str" cm="1">
        <f t="array" ref="I93">_xlfn.LET(
_xlpm.p,E93,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93" s="68" t="s">
        <v>758</v>
      </c>
      <c r="K93">
        <v>4.5</v>
      </c>
      <c r="L93">
        <v>96</v>
      </c>
      <c r="M93">
        <f>1/4</f>
        <v>0.25</v>
      </c>
      <c r="N93" t="str">
        <f t="shared" si="11"/>
        <v>N/A</v>
      </c>
      <c r="O93" t="str">
        <f t="shared" si="12"/>
        <v>N/A</v>
      </c>
    </row>
    <row r="94" spans="1:15">
      <c r="A94" t="s">
        <v>582</v>
      </c>
      <c r="B94" s="65">
        <v>3388</v>
      </c>
      <c r="C94" s="138">
        <f t="shared" si="8"/>
        <v>1016.4</v>
      </c>
      <c r="D94" s="138"/>
      <c r="E94" t="str">
        <f t="shared" si="7"/>
        <v>OC33X103.5</v>
      </c>
      <c r="F94" t="str" cm="1">
        <f t="array" ref="F94">_xlfn.LET(
_xlpm.p,E94,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94" t="str" cm="1">
        <f t="array" ref="G94">_xlfn.LET(
_xlpm.p,E94,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Oven</v>
      </c>
      <c r="H94" s="75" t="s">
        <v>747</v>
      </c>
      <c r="I94" s="68" t="str" cm="1">
        <f t="array" ref="I94">_xlfn.LET(
_xlpm.p,E94,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94" s="82"/>
      <c r="K94">
        <v>33</v>
      </c>
      <c r="L94">
        <v>103.5</v>
      </c>
      <c r="M94">
        <v>27</v>
      </c>
      <c r="N94">
        <f t="shared" si="11"/>
        <v>2</v>
      </c>
      <c r="O94">
        <f t="shared" si="12"/>
        <v>0</v>
      </c>
    </row>
    <row r="95" spans="1:15">
      <c r="A95" t="s">
        <v>429</v>
      </c>
      <c r="B95" s="65">
        <v>447</v>
      </c>
      <c r="C95" s="138">
        <f t="shared" si="8"/>
        <v>134.1</v>
      </c>
      <c r="D95" s="138"/>
      <c r="E95" t="str">
        <f t="shared" si="7"/>
        <v>OC-DB30 DRAWER</v>
      </c>
      <c r="F95" t="str" cm="1">
        <f t="array" ref="F95">_xlfn.LET(
_xlpm.p,E95,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95" t="str" cm="1">
        <f t="array" ref="G95">_xlfn.LET(
_xlpm.p,E95,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Oven</v>
      </c>
      <c r="H95" s="75" t="s">
        <v>700</v>
      </c>
      <c r="I95" s="68" t="str" cm="1">
        <f t="array" ref="I95">_xlfn.LET(
_xlpm.p,E95,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95" s="82"/>
      <c r="K95">
        <v>30</v>
      </c>
      <c r="N95">
        <f t="shared" si="11"/>
        <v>2</v>
      </c>
      <c r="O95">
        <f t="shared" si="12"/>
        <v>3</v>
      </c>
    </row>
    <row r="96" spans="1:15">
      <c r="A96" t="s">
        <v>561</v>
      </c>
      <c r="B96" s="65">
        <v>1705</v>
      </c>
      <c r="C96" s="138">
        <f t="shared" si="8"/>
        <v>511.5</v>
      </c>
      <c r="D96" s="138"/>
      <c r="E96" t="str">
        <f t="shared" si="7"/>
        <v>WP129327</v>
      </c>
      <c r="F96" t="str" cm="1">
        <f t="array" ref="F96">_xlfn.LET(
_xlpm.p,E96,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96" t="str" cm="1">
        <f t="array" ref="G96">_xlfn.LET(
_xlpm.p,E96,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96" s="68" t="str" cm="1">
        <f t="array" ref="I96">_xlfn.LET(
_xlpm.p,E96,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96" s="68" t="s">
        <v>758</v>
      </c>
      <c r="K96">
        <v>12</v>
      </c>
      <c r="L96">
        <v>93</v>
      </c>
      <c r="M96">
        <v>27</v>
      </c>
      <c r="N96" s="60" t="s">
        <v>743</v>
      </c>
      <c r="O96" s="60" t="s">
        <v>743</v>
      </c>
    </row>
    <row r="97" spans="1:15">
      <c r="A97" t="s">
        <v>562</v>
      </c>
      <c r="B97" s="65">
        <v>1841</v>
      </c>
      <c r="C97" s="138">
        <f t="shared" si="8"/>
        <v>552.29999999999995</v>
      </c>
      <c r="D97" s="138"/>
      <c r="E97" t="str">
        <f t="shared" si="7"/>
        <v>WP159327</v>
      </c>
      <c r="F97" t="str" cm="1">
        <f t="array" ref="F97">_xlfn.LET(
_xlpm.p,E97,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97" t="str" cm="1">
        <f t="array" ref="G97">_xlfn.LET(
_xlpm.p,E97,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97" s="68" t="str" cm="1">
        <f t="array" ref="I97">_xlfn.LET(
_xlpm.p,E97,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97" s="68" t="s">
        <v>758</v>
      </c>
      <c r="K97">
        <v>15</v>
      </c>
      <c r="L97">
        <v>93</v>
      </c>
      <c r="M97">
        <v>27</v>
      </c>
      <c r="N97">
        <f t="shared" si="11"/>
        <v>1</v>
      </c>
      <c r="O97">
        <f t="shared" si="12"/>
        <v>0</v>
      </c>
    </row>
    <row r="98" spans="1:15">
      <c r="A98" t="s">
        <v>563</v>
      </c>
      <c r="B98" s="65">
        <v>1356</v>
      </c>
      <c r="C98" s="138">
        <f t="shared" si="8"/>
        <v>406.8</v>
      </c>
      <c r="D98" s="138"/>
      <c r="E98" t="str">
        <f t="shared" si="7"/>
        <v>WP188427</v>
      </c>
      <c r="F98" t="str" cm="1">
        <f t="array" ref="F98">_xlfn.LET(
_xlpm.p,E98,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98" t="str" cm="1">
        <f t="array" ref="G98">_xlfn.LET(
_xlpm.p,E98,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98" s="68" t="str" cm="1">
        <f t="array" ref="I98">_xlfn.LET(
_xlpm.p,E98,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98" s="68" t="s">
        <v>758</v>
      </c>
      <c r="K98">
        <v>18</v>
      </c>
      <c r="L98">
        <v>84</v>
      </c>
      <c r="M98">
        <v>27</v>
      </c>
      <c r="N98">
        <f t="shared" si="11"/>
        <v>1</v>
      </c>
      <c r="O98">
        <f t="shared" si="12"/>
        <v>0</v>
      </c>
    </row>
    <row r="99" spans="1:15">
      <c r="A99" t="s">
        <v>564</v>
      </c>
      <c r="B99" s="65">
        <v>1506</v>
      </c>
      <c r="C99" s="138">
        <f t="shared" si="8"/>
        <v>451.8</v>
      </c>
      <c r="D99" s="138"/>
      <c r="E99" t="str">
        <f t="shared" si="7"/>
        <v>WP189027</v>
      </c>
      <c r="F99" t="str" cm="1">
        <f t="array" ref="F99">_xlfn.LET(
_xlpm.p,E99,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99" t="str" cm="1">
        <f t="array" ref="G99">_xlfn.LET(
_xlpm.p,E99,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99" s="68" t="str" cm="1">
        <f t="array" ref="I99">_xlfn.LET(
_xlpm.p,E99,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99" s="68" t="s">
        <v>758</v>
      </c>
      <c r="K99">
        <v>18</v>
      </c>
      <c r="L99">
        <v>90</v>
      </c>
      <c r="M99">
        <v>27</v>
      </c>
      <c r="N99">
        <f t="shared" si="11"/>
        <v>1</v>
      </c>
      <c r="O99">
        <f t="shared" si="12"/>
        <v>0</v>
      </c>
    </row>
    <row r="100" spans="1:15">
      <c r="A100" t="s">
        <v>566</v>
      </c>
      <c r="B100" s="65">
        <v>1970</v>
      </c>
      <c r="C100" s="138">
        <f t="shared" si="8"/>
        <v>591</v>
      </c>
      <c r="D100" s="138"/>
      <c r="E100" t="str">
        <f t="shared" si="7"/>
        <v>WP189327</v>
      </c>
      <c r="F100" t="str" cm="1">
        <f t="array" ref="F100">_xlfn.LET(
_xlpm.p,E100,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100" t="str" cm="1">
        <f t="array" ref="G100">_xlfn.LET(
_xlpm.p,E100,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100" s="68" t="str" cm="1">
        <f t="array" ref="I100">_xlfn.LET(
_xlpm.p,E100,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00" s="68" t="s">
        <v>758</v>
      </c>
      <c r="K100">
        <v>18</v>
      </c>
      <c r="L100">
        <v>93</v>
      </c>
      <c r="M100">
        <v>27</v>
      </c>
      <c r="N100" s="60" t="s">
        <v>743</v>
      </c>
      <c r="O100" s="60" t="s">
        <v>743</v>
      </c>
    </row>
    <row r="101" spans="1:15">
      <c r="A101" t="s">
        <v>565</v>
      </c>
      <c r="B101" s="65">
        <v>1834</v>
      </c>
      <c r="C101" s="138">
        <f t="shared" si="8"/>
        <v>550.19999999999993</v>
      </c>
      <c r="D101" s="138"/>
      <c r="E101" t="str">
        <f t="shared" si="7"/>
        <v>WP18X91.527</v>
      </c>
      <c r="F101" t="str" cm="1">
        <f t="array" ref="F101">_xlfn.LET(
_xlpm.p,E101,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101" t="str" cm="1">
        <f t="array" ref="G101">_xlfn.LET(
_xlpm.p,E101,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101" s="68" t="str" cm="1">
        <f t="array" ref="I101">_xlfn.LET(
_xlpm.p,E101,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01" s="68" t="s">
        <v>758</v>
      </c>
      <c r="K101">
        <v>18</v>
      </c>
      <c r="L101">
        <v>91.5</v>
      </c>
      <c r="M101">
        <v>27</v>
      </c>
      <c r="N101">
        <f t="shared" si="11"/>
        <v>1</v>
      </c>
      <c r="O101">
        <f t="shared" si="12"/>
        <v>0</v>
      </c>
    </row>
    <row r="102" spans="1:15">
      <c r="A102" t="s">
        <v>567</v>
      </c>
      <c r="B102" s="65">
        <v>1773</v>
      </c>
      <c r="C102" s="138">
        <f t="shared" si="8"/>
        <v>531.9</v>
      </c>
      <c r="D102" s="138"/>
      <c r="E102" t="str">
        <f t="shared" si="7"/>
        <v>WP248427</v>
      </c>
      <c r="F102" t="str" cm="1">
        <f t="array" ref="F102">_xlfn.LET(
_xlpm.p,E102,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102" t="str" cm="1">
        <f t="array" ref="G102">_xlfn.LET(
_xlpm.p,E102,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102" s="68" t="str" cm="1">
        <f t="array" ref="I102">_xlfn.LET(
_xlpm.p,E102,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02" s="68" t="s">
        <v>758</v>
      </c>
      <c r="K102">
        <v>24</v>
      </c>
      <c r="L102">
        <v>84</v>
      </c>
      <c r="M102">
        <v>27</v>
      </c>
      <c r="N102">
        <f t="shared" si="11"/>
        <v>2</v>
      </c>
      <c r="O102">
        <f t="shared" si="12"/>
        <v>0</v>
      </c>
    </row>
    <row r="103" spans="1:15">
      <c r="A103" t="s">
        <v>568</v>
      </c>
      <c r="B103" s="65">
        <v>1890</v>
      </c>
      <c r="C103" s="138">
        <f t="shared" si="8"/>
        <v>567</v>
      </c>
      <c r="D103" s="138"/>
      <c r="E103" t="str">
        <f t="shared" si="7"/>
        <v>WP249027</v>
      </c>
      <c r="F103" t="str" cm="1">
        <f t="array" ref="F103">_xlfn.LET(
_xlpm.p,E103,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103" t="str" cm="1">
        <f t="array" ref="G103">_xlfn.LET(
_xlpm.p,E103,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103" s="68" t="str" cm="1">
        <f t="array" ref="I103">_xlfn.LET(
_xlpm.p,E103,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03" s="68" t="s">
        <v>758</v>
      </c>
      <c r="K103">
        <v>24</v>
      </c>
      <c r="L103">
        <v>90</v>
      </c>
      <c r="M103">
        <v>27</v>
      </c>
      <c r="N103">
        <f t="shared" si="11"/>
        <v>2</v>
      </c>
      <c r="O103">
        <f t="shared" si="12"/>
        <v>0</v>
      </c>
    </row>
    <row r="104" spans="1:15">
      <c r="A104" t="s">
        <v>569</v>
      </c>
      <c r="B104" s="65">
        <v>2084</v>
      </c>
      <c r="C104" s="138">
        <f t="shared" si="8"/>
        <v>625.19999999999993</v>
      </c>
      <c r="D104" s="138"/>
      <c r="E104" t="str">
        <f t="shared" si="7"/>
        <v>WP2491.5X27</v>
      </c>
      <c r="F104" t="str" cm="1">
        <f t="array" ref="F104">_xlfn.LET(
_xlpm.p,E104,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104" t="str" cm="1">
        <f t="array" ref="G104">_xlfn.LET(
_xlpm.p,E104,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104" s="68" t="str" cm="1">
        <f t="array" ref="I104">_xlfn.LET(
_xlpm.p,E104,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04" s="68" t="s">
        <v>758</v>
      </c>
      <c r="K104">
        <v>24</v>
      </c>
      <c r="L104">
        <v>91.5</v>
      </c>
      <c r="M104">
        <v>27</v>
      </c>
      <c r="N104" s="60" t="s">
        <v>743</v>
      </c>
      <c r="O104" s="60" t="s">
        <v>743</v>
      </c>
    </row>
    <row r="105" spans="1:15">
      <c r="A105" t="s">
        <v>570</v>
      </c>
      <c r="B105" s="65">
        <v>2112</v>
      </c>
      <c r="C105" s="138">
        <f t="shared" si="8"/>
        <v>633.6</v>
      </c>
      <c r="D105" s="138"/>
      <c r="E105" t="str">
        <f t="shared" si="7"/>
        <v>WP249327</v>
      </c>
      <c r="F105" t="str" cm="1">
        <f t="array" ref="F105">_xlfn.LET(
_xlpm.p,E105,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105" t="str" cm="1">
        <f t="array" ref="G105">_xlfn.LET(
_xlpm.p,E105,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105" s="68" t="str" cm="1">
        <f t="array" ref="I105">_xlfn.LET(
_xlpm.p,E105,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05" s="68" t="s">
        <v>758</v>
      </c>
      <c r="K105">
        <v>24</v>
      </c>
      <c r="L105">
        <v>93</v>
      </c>
      <c r="M105">
        <v>27</v>
      </c>
      <c r="N105">
        <f t="shared" si="11"/>
        <v>2</v>
      </c>
      <c r="O105">
        <f t="shared" si="12"/>
        <v>0</v>
      </c>
    </row>
    <row r="106" spans="1:15">
      <c r="A106" t="s">
        <v>571</v>
      </c>
      <c r="B106" s="65">
        <v>2102</v>
      </c>
      <c r="C106" s="138">
        <f t="shared" si="8"/>
        <v>630.6</v>
      </c>
      <c r="D106" s="138"/>
      <c r="E106" t="str">
        <f t="shared" si="7"/>
        <v>WP249627</v>
      </c>
      <c r="F106" t="str" cm="1">
        <f t="array" ref="F106">_xlfn.LET(
_xlpm.p,E106,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106" t="str" cm="1">
        <f t="array" ref="G106">_xlfn.LET(
_xlpm.p,E106,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106" s="68" t="str" cm="1">
        <f t="array" ref="I106">_xlfn.LET(
_xlpm.p,E106,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06" s="68" t="s">
        <v>758</v>
      </c>
      <c r="K106">
        <v>24</v>
      </c>
      <c r="L106">
        <v>96</v>
      </c>
      <c r="M106">
        <v>27</v>
      </c>
      <c r="N106">
        <f t="shared" si="11"/>
        <v>2</v>
      </c>
      <c r="O106">
        <f t="shared" si="12"/>
        <v>0</v>
      </c>
    </row>
    <row r="107" spans="1:15">
      <c r="A107" t="s">
        <v>580</v>
      </c>
      <c r="B107" s="65">
        <v>3034</v>
      </c>
      <c r="C107" s="138">
        <f t="shared" si="8"/>
        <v>910.19999999999993</v>
      </c>
      <c r="D107" s="138"/>
      <c r="E107" t="str">
        <f t="shared" si="7"/>
        <v>WP24X103.5</v>
      </c>
      <c r="F107" t="str" cm="1">
        <f t="array" ref="F107">_xlfn.LET(
_xlpm.p,E107,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107" t="str" cm="1">
        <f t="array" ref="G107">_xlfn.LET(
_xlpm.p,E107,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107" s="68" t="str" cm="1">
        <f t="array" ref="I107">_xlfn.LET(
_xlpm.p,E107,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07" s="68" t="s">
        <v>758</v>
      </c>
      <c r="K107">
        <v>24</v>
      </c>
      <c r="L107">
        <v>103.5</v>
      </c>
      <c r="M107">
        <v>27</v>
      </c>
      <c r="N107">
        <f t="shared" si="11"/>
        <v>2</v>
      </c>
      <c r="O107">
        <f t="shared" si="12"/>
        <v>0</v>
      </c>
    </row>
    <row r="108" spans="1:15">
      <c r="A108" t="s">
        <v>572</v>
      </c>
      <c r="B108" s="65">
        <v>2321</v>
      </c>
      <c r="C108" s="138">
        <f t="shared" si="8"/>
        <v>696.3</v>
      </c>
      <c r="D108" s="138"/>
      <c r="E108" t="str">
        <f t="shared" si="7"/>
        <v>WP2791.5X27</v>
      </c>
      <c r="F108" t="str" cm="1">
        <f t="array" ref="F108">_xlfn.LET(
_xlpm.p,E108,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108" t="str" cm="1">
        <f t="array" ref="G108">_xlfn.LET(
_xlpm.p,E108,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108" s="68" t="str" cm="1">
        <f t="array" ref="I108">_xlfn.LET(
_xlpm.p,E108,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08" s="68" t="s">
        <v>758</v>
      </c>
      <c r="K108">
        <v>27</v>
      </c>
      <c r="L108">
        <v>91.5</v>
      </c>
      <c r="M108">
        <v>27</v>
      </c>
      <c r="N108" s="60" t="s">
        <v>743</v>
      </c>
      <c r="O108" s="60" t="s">
        <v>743</v>
      </c>
    </row>
    <row r="109" spans="1:15">
      <c r="A109" t="s">
        <v>573</v>
      </c>
      <c r="B109" s="65">
        <v>2345</v>
      </c>
      <c r="C109" s="138">
        <f t="shared" si="8"/>
        <v>703.5</v>
      </c>
      <c r="D109" s="138"/>
      <c r="E109" t="str">
        <f t="shared" si="7"/>
        <v>WP279327</v>
      </c>
      <c r="F109" t="str" cm="1">
        <f t="array" ref="F109">_xlfn.LET(
_xlpm.p,E109,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109" t="str" cm="1">
        <f t="array" ref="G109">_xlfn.LET(
_xlpm.p,E109,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109" s="68" t="str" cm="1">
        <f t="array" ref="I109">_xlfn.LET(
_xlpm.p,E109,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09" s="68" t="s">
        <v>758</v>
      </c>
      <c r="K109">
        <v>27</v>
      </c>
      <c r="L109">
        <v>93</v>
      </c>
      <c r="M109">
        <v>27</v>
      </c>
      <c r="N109">
        <f t="shared" si="11"/>
        <v>2</v>
      </c>
      <c r="O109">
        <f t="shared" si="12"/>
        <v>0</v>
      </c>
    </row>
    <row r="110" spans="1:15">
      <c r="A110" t="s">
        <v>574</v>
      </c>
      <c r="B110" s="65">
        <v>2239</v>
      </c>
      <c r="C110" s="138">
        <f t="shared" si="8"/>
        <v>671.69999999999993</v>
      </c>
      <c r="D110" s="138"/>
      <c r="E110" t="str">
        <f t="shared" si="7"/>
        <v>WP279627</v>
      </c>
      <c r="F110" t="str" cm="1">
        <f t="array" ref="F110">_xlfn.LET(
_xlpm.p,E110,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110" t="str" cm="1">
        <f t="array" ref="G110">_xlfn.LET(
_xlpm.p,E110,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110" s="68" t="str" cm="1">
        <f t="array" ref="I110">_xlfn.LET(
_xlpm.p,E110,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10" s="68" t="s">
        <v>758</v>
      </c>
      <c r="K110">
        <v>27</v>
      </c>
      <c r="L110">
        <v>96</v>
      </c>
      <c r="M110">
        <v>27</v>
      </c>
      <c r="N110">
        <f t="shared" si="11"/>
        <v>2</v>
      </c>
      <c r="O110">
        <f t="shared" si="12"/>
        <v>0</v>
      </c>
    </row>
    <row r="111" spans="1:15">
      <c r="A111" t="s">
        <v>575</v>
      </c>
      <c r="B111" s="65">
        <v>2179</v>
      </c>
      <c r="C111" s="138">
        <f t="shared" si="8"/>
        <v>653.69999999999993</v>
      </c>
      <c r="D111" s="138"/>
      <c r="E111" t="str">
        <f t="shared" si="7"/>
        <v>WP308427</v>
      </c>
      <c r="F111" t="str" cm="1">
        <f t="array" ref="F111">_xlfn.LET(
_xlpm.p,E111,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111" t="str" cm="1">
        <f t="array" ref="G111">_xlfn.LET(
_xlpm.p,E111,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111" s="68" t="str" cm="1">
        <f t="array" ref="I111">_xlfn.LET(
_xlpm.p,E111,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11" s="68" t="s">
        <v>758</v>
      </c>
      <c r="K111">
        <v>30</v>
      </c>
      <c r="L111">
        <v>84</v>
      </c>
      <c r="M111">
        <v>27</v>
      </c>
      <c r="N111">
        <f t="shared" si="11"/>
        <v>2</v>
      </c>
      <c r="O111">
        <f t="shared" si="12"/>
        <v>0</v>
      </c>
    </row>
    <row r="112" spans="1:15">
      <c r="A112" t="s">
        <v>576</v>
      </c>
      <c r="B112" s="65">
        <v>2212</v>
      </c>
      <c r="C112" s="138">
        <f t="shared" si="8"/>
        <v>663.6</v>
      </c>
      <c r="D112" s="138"/>
      <c r="E112" t="str">
        <f t="shared" si="7"/>
        <v>WP309027</v>
      </c>
      <c r="F112" t="str" cm="1">
        <f t="array" ref="F112">_xlfn.LET(
_xlpm.p,E112,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112" t="str" cm="1">
        <f t="array" ref="G112">_xlfn.LET(
_xlpm.p,E112,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112" s="68" t="str" cm="1">
        <f t="array" ref="I112">_xlfn.LET(
_xlpm.p,E112,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12" s="68" t="s">
        <v>758</v>
      </c>
      <c r="K112">
        <v>30</v>
      </c>
      <c r="L112">
        <v>90</v>
      </c>
      <c r="M112">
        <v>27</v>
      </c>
      <c r="N112">
        <f t="shared" si="11"/>
        <v>2</v>
      </c>
      <c r="O112">
        <f t="shared" si="12"/>
        <v>0</v>
      </c>
    </row>
    <row r="113" spans="1:15">
      <c r="A113" t="s">
        <v>577</v>
      </c>
      <c r="B113" s="65">
        <v>2407</v>
      </c>
      <c r="C113" s="138">
        <f t="shared" si="8"/>
        <v>722.1</v>
      </c>
      <c r="D113" s="138"/>
      <c r="E113" t="str">
        <f t="shared" si="7"/>
        <v>WP309327</v>
      </c>
      <c r="F113" t="str" cm="1">
        <f t="array" ref="F113">_xlfn.LET(
_xlpm.p,E113,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113" t="str" cm="1">
        <f t="array" ref="G113">_xlfn.LET(
_xlpm.p,E113,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113" s="68" t="str" cm="1">
        <f t="array" ref="I113">_xlfn.LET(
_xlpm.p,E113,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13" s="68" t="s">
        <v>758</v>
      </c>
      <c r="K113">
        <v>30</v>
      </c>
      <c r="L113">
        <v>93</v>
      </c>
      <c r="M113">
        <v>27</v>
      </c>
      <c r="N113">
        <f t="shared" si="11"/>
        <v>2</v>
      </c>
      <c r="O113">
        <f t="shared" si="12"/>
        <v>0</v>
      </c>
    </row>
    <row r="114" spans="1:15">
      <c r="A114" t="s">
        <v>578</v>
      </c>
      <c r="B114" s="65">
        <v>2319</v>
      </c>
      <c r="C114" s="138">
        <f t="shared" si="8"/>
        <v>695.69999999999993</v>
      </c>
      <c r="D114" s="138"/>
      <c r="E114" t="str">
        <f t="shared" si="7"/>
        <v>WP309627</v>
      </c>
      <c r="F114" t="str" cm="1">
        <f t="array" ref="F114">_xlfn.LET(
_xlpm.p,E114,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114" t="str" cm="1">
        <f t="array" ref="G114">_xlfn.LET(
_xlpm.p,E114,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114" s="68" t="str" cm="1">
        <f t="array" ref="I114">_xlfn.LET(
_xlpm.p,E114,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14" s="68" t="s">
        <v>758</v>
      </c>
      <c r="K114">
        <v>30</v>
      </c>
      <c r="L114">
        <v>96</v>
      </c>
      <c r="M114">
        <v>27</v>
      </c>
      <c r="N114">
        <f t="shared" si="11"/>
        <v>2</v>
      </c>
      <c r="O114">
        <f t="shared" si="12"/>
        <v>0</v>
      </c>
    </row>
    <row r="115" spans="1:15">
      <c r="A115" t="s">
        <v>581</v>
      </c>
      <c r="B115" s="65">
        <v>3262</v>
      </c>
      <c r="C115" s="138">
        <f t="shared" si="8"/>
        <v>978.59999999999991</v>
      </c>
      <c r="D115" s="138"/>
      <c r="E115" t="str">
        <f t="shared" si="7"/>
        <v>WP30X103.5</v>
      </c>
      <c r="F115" t="str" cm="1">
        <f t="array" ref="F115">_xlfn.LET(
_xlpm.p,E115,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115" t="str" cm="1">
        <f t="array" ref="G115">_xlfn.LET(
_xlpm.p,E115,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115" s="68" t="str" cm="1">
        <f t="array" ref="I115">_xlfn.LET(
_xlpm.p,E115,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15" s="68" t="s">
        <v>758</v>
      </c>
      <c r="K115">
        <v>30</v>
      </c>
      <c r="L115">
        <v>103.5</v>
      </c>
      <c r="M115">
        <v>27</v>
      </c>
      <c r="N115">
        <f t="shared" si="11"/>
        <v>2</v>
      </c>
      <c r="O115">
        <f t="shared" si="12"/>
        <v>0</v>
      </c>
    </row>
    <row r="116" spans="1:15">
      <c r="A116" t="s">
        <v>579</v>
      </c>
      <c r="B116" s="65">
        <v>2381</v>
      </c>
      <c r="C116" s="138">
        <f t="shared" si="8"/>
        <v>714.3</v>
      </c>
      <c r="D116" s="138"/>
      <c r="E116" t="str">
        <f t="shared" si="7"/>
        <v>WP30X91.5X27-DOORS</v>
      </c>
      <c r="F116" t="str" cm="1">
        <f t="array" ref="F116">_xlfn.LET(
_xlpm.p,E116,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116" t="str" cm="1">
        <f t="array" ref="G116">_xlfn.LET(
_xlpm.p,E116,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116" s="68" t="str" cm="1">
        <f t="array" ref="I116">_xlfn.LET(
_xlpm.p,E116,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 - Door</v>
      </c>
      <c r="J116" s="82"/>
      <c r="K116">
        <v>30</v>
      </c>
      <c r="L116">
        <v>91.5</v>
      </c>
      <c r="M116">
        <v>27</v>
      </c>
      <c r="N116">
        <f t="shared" si="11"/>
        <v>2</v>
      </c>
      <c r="O116">
        <f t="shared" si="12"/>
        <v>0</v>
      </c>
    </row>
    <row r="117" spans="1:15">
      <c r="A117" t="s">
        <v>511</v>
      </c>
      <c r="B117" s="65">
        <v>646</v>
      </c>
      <c r="C117" s="138">
        <f t="shared" si="8"/>
        <v>193.79999999999998</v>
      </c>
      <c r="D117" s="138"/>
      <c r="E117" t="str">
        <f t="shared" si="7"/>
        <v>WBC2730</v>
      </c>
      <c r="F117" t="str" cm="1">
        <f t="array" ref="F117">_xlfn.LET(
_xlpm.p,E117,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</v>
      </c>
      <c r="G117" cm="1">
        <f t="array" ref="G117">_xlfn.LET(
_xlpm.p,E117,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17" s="82" t="str" cm="1">
        <f t="array" ref="I117">_xlfn.LET(
_xlpm.p,E117,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17" s="82"/>
      <c r="N117" t="str">
        <f t="shared" si="11"/>
        <v>N/A</v>
      </c>
      <c r="O117" t="str">
        <f t="shared" si="12"/>
        <v>N/A</v>
      </c>
    </row>
    <row r="118" spans="1:15">
      <c r="A118" t="s">
        <v>512</v>
      </c>
      <c r="B118" s="65">
        <v>711</v>
      </c>
      <c r="C118" s="138">
        <f t="shared" si="8"/>
        <v>213.29999999999998</v>
      </c>
      <c r="D118" s="138"/>
      <c r="E118" t="str">
        <f t="shared" si="7"/>
        <v>WBC2736</v>
      </c>
      <c r="F118" t="str" cm="1">
        <f t="array" ref="F118">_xlfn.LET(
_xlpm.p,E118,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</v>
      </c>
      <c r="G118" cm="1">
        <f t="array" ref="G118">_xlfn.LET(
_xlpm.p,E118,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18" s="82" t="str" cm="1">
        <f t="array" ref="I118">_xlfn.LET(
_xlpm.p,E118,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18" s="82"/>
      <c r="N118" t="str">
        <f t="shared" si="11"/>
        <v>N/A</v>
      </c>
      <c r="O118" t="str">
        <f t="shared" si="12"/>
        <v>N/A</v>
      </c>
    </row>
    <row r="119" spans="1:15">
      <c r="A119" t="s">
        <v>717</v>
      </c>
      <c r="B119" s="65">
        <v>176</v>
      </c>
      <c r="C119" s="138">
        <f t="shared" si="8"/>
        <v>52.8</v>
      </c>
      <c r="D119" s="138"/>
      <c r="E119" t="str">
        <f t="shared" si="7"/>
        <v>WBC2736-Door</v>
      </c>
      <c r="F119" t="str" cm="1">
        <f t="array" ref="F119">_xlfn.LET(
_xlpm.p,E119,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</v>
      </c>
      <c r="G119" cm="1">
        <f t="array" ref="G119">_xlfn.LET(
_xlpm.p,E119,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19" s="82" t="str" cm="1">
        <f t="array" ref="I119">_xlfn.LET(
_xlpm.p,E119,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 - Door</v>
      </c>
      <c r="J119" s="82"/>
      <c r="N119" s="60" t="s">
        <v>743</v>
      </c>
      <c r="O119" s="60" t="s">
        <v>743</v>
      </c>
    </row>
    <row r="120" spans="1:15">
      <c r="A120" t="s">
        <v>513</v>
      </c>
      <c r="B120" s="65">
        <v>1278</v>
      </c>
      <c r="C120" s="138">
        <f t="shared" si="8"/>
        <v>383.4</v>
      </c>
      <c r="D120" s="138"/>
      <c r="E120" t="str">
        <f t="shared" si="7"/>
        <v>WBC2748-L</v>
      </c>
      <c r="F120" t="str" cm="1">
        <f t="array" ref="F120">_xlfn.LET(
_xlpm.p,E120,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</v>
      </c>
      <c r="G120" cm="1">
        <f t="array" ref="G120">_xlfn.LET(
_xlpm.p,E120,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20" s="82" t="str" cm="1">
        <f t="array" ref="I120">_xlfn.LET(
_xlpm.p,E120,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20" s="82"/>
      <c r="N120" t="str">
        <f t="shared" si="11"/>
        <v>N/A</v>
      </c>
      <c r="O120" t="str">
        <f t="shared" si="12"/>
        <v>N/A</v>
      </c>
    </row>
    <row r="121" spans="1:15">
      <c r="A121" t="s">
        <v>520</v>
      </c>
      <c r="B121" s="65">
        <v>1278</v>
      </c>
      <c r="C121" s="138">
        <f t="shared" si="8"/>
        <v>383.4</v>
      </c>
      <c r="D121" s="138"/>
      <c r="E121" t="str">
        <f t="shared" si="7"/>
        <v>WBC2748-R</v>
      </c>
      <c r="F121" t="str" cm="1">
        <f t="array" ref="F121">_xlfn.LET(
_xlpm.p,E121,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</v>
      </c>
      <c r="G121" cm="1">
        <f t="array" ref="G121">_xlfn.LET(
_xlpm.p,E121,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21" s="82" t="str" cm="1">
        <f t="array" ref="I121">_xlfn.LET(
_xlpm.p,E121,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21" s="82"/>
      <c r="N121" t="str">
        <f t="shared" si="11"/>
        <v>N/A</v>
      </c>
      <c r="O121" t="str">
        <f t="shared" si="12"/>
        <v>N/A</v>
      </c>
    </row>
    <row r="122" spans="1:15">
      <c r="A122" t="s">
        <v>514</v>
      </c>
      <c r="B122" s="65">
        <v>746</v>
      </c>
      <c r="C122" s="138">
        <f t="shared" si="8"/>
        <v>223.79999999999998</v>
      </c>
      <c r="D122" s="138"/>
      <c r="E122" t="str">
        <f t="shared" si="7"/>
        <v>WBC3030</v>
      </c>
      <c r="F122" t="str" cm="1">
        <f t="array" ref="F122">_xlfn.LET(
_xlpm.p,E122,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</v>
      </c>
      <c r="G122" cm="1">
        <f t="array" ref="G122">_xlfn.LET(
_xlpm.p,E122,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22" s="82" t="str" cm="1">
        <f t="array" ref="I122">_xlfn.LET(
_xlpm.p,E122,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22" s="82"/>
    </row>
    <row r="123" spans="1:15">
      <c r="A123" t="s">
        <v>515</v>
      </c>
      <c r="B123" s="65">
        <v>841</v>
      </c>
      <c r="C123" s="138">
        <f t="shared" si="8"/>
        <v>252.29999999999998</v>
      </c>
      <c r="D123" s="138"/>
      <c r="E123" t="str">
        <f t="shared" si="7"/>
        <v>WBC3036</v>
      </c>
      <c r="F123" t="str" cm="1">
        <f t="array" ref="F123">_xlfn.LET(
_xlpm.p,E123,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</v>
      </c>
      <c r="G123" cm="1">
        <f t="array" ref="G123">_xlfn.LET(
_xlpm.p,E123,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23" s="82" t="str" cm="1">
        <f t="array" ref="I123">_xlfn.LET(
_xlpm.p,E123,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23" s="82"/>
    </row>
    <row r="124" spans="1:15">
      <c r="A124" t="s">
        <v>516</v>
      </c>
      <c r="B124" s="65">
        <v>799</v>
      </c>
      <c r="C124" s="138">
        <f t="shared" si="8"/>
        <v>239.7</v>
      </c>
      <c r="D124" s="138"/>
      <c r="E124" t="str">
        <f t="shared" si="7"/>
        <v>WBC3330</v>
      </c>
      <c r="F124" t="str" cm="1">
        <f t="array" ref="F124">_xlfn.LET(
_xlpm.p,E124,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</v>
      </c>
      <c r="G124" cm="1">
        <f t="array" ref="G124">_xlfn.LET(
_xlpm.p,E124,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24" s="82" t="str" cm="1">
        <f t="array" ref="I124">_xlfn.LET(
_xlpm.p,E124,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24" s="82"/>
    </row>
    <row r="125" spans="1:15">
      <c r="A125" t="s">
        <v>517</v>
      </c>
      <c r="B125" s="65">
        <v>894</v>
      </c>
      <c r="C125" s="138">
        <f t="shared" si="8"/>
        <v>268.2</v>
      </c>
      <c r="D125" s="138"/>
      <c r="E125" t="str">
        <f t="shared" si="7"/>
        <v>WBC3336</v>
      </c>
      <c r="F125" t="str" cm="1">
        <f t="array" ref="F125">_xlfn.LET(
_xlpm.p,E125,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</v>
      </c>
      <c r="G125" cm="1">
        <f t="array" ref="G125">_xlfn.LET(
_xlpm.p,E125,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25" s="82" t="str" cm="1">
        <f t="array" ref="I125">_xlfn.LET(
_xlpm.p,E125,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25" s="82"/>
    </row>
    <row r="126" spans="1:15">
      <c r="A126" t="s">
        <v>518</v>
      </c>
      <c r="B126" s="65">
        <v>866</v>
      </c>
      <c r="C126" s="138">
        <f t="shared" si="8"/>
        <v>259.8</v>
      </c>
      <c r="D126" s="138"/>
      <c r="E126" t="str">
        <f t="shared" si="7"/>
        <v>WBC3630</v>
      </c>
      <c r="F126" t="str" cm="1">
        <f t="array" ref="F126">_xlfn.LET(
_xlpm.p,E126,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</v>
      </c>
      <c r="G126" cm="1">
        <f t="array" ref="G126">_xlfn.LET(
_xlpm.p,E126,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26" s="82" t="str" cm="1">
        <f t="array" ref="I126">_xlfn.LET(
_xlpm.p,E126,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26" s="82"/>
    </row>
    <row r="127" spans="1:15">
      <c r="A127" t="s">
        <v>519</v>
      </c>
      <c r="B127" s="65">
        <v>955</v>
      </c>
      <c r="C127" s="138">
        <f t="shared" si="8"/>
        <v>286.5</v>
      </c>
      <c r="D127" s="138"/>
      <c r="E127" t="str">
        <f t="shared" si="7"/>
        <v>WBC3636</v>
      </c>
      <c r="F127" t="str" cm="1">
        <f t="array" ref="F127">_xlfn.LET(
_xlpm.p,E127,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</v>
      </c>
      <c r="G127" cm="1">
        <f t="array" ref="G127">_xlfn.LET(
_xlpm.p,E127,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27" s="82" t="str" cm="1">
        <f t="array" ref="I127">_xlfn.LET(
_xlpm.p,E127,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27" s="82"/>
    </row>
    <row r="128" spans="1:15">
      <c r="A128" t="s">
        <v>521</v>
      </c>
      <c r="B128" s="65">
        <v>1388</v>
      </c>
      <c r="C128" s="138">
        <f t="shared" si="8"/>
        <v>416.4</v>
      </c>
      <c r="D128" s="138"/>
      <c r="E128" t="str">
        <f t="shared" si="7"/>
        <v>WBC3648-L</v>
      </c>
      <c r="F128" t="str" cm="1">
        <f t="array" ref="F128">_xlfn.LET(
_xlpm.p,E128,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</v>
      </c>
      <c r="G128" cm="1">
        <f t="array" ref="G128">_xlfn.LET(
_xlpm.p,E128,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28" s="82" t="str" cm="1">
        <f t="array" ref="I128">_xlfn.LET(
_xlpm.p,E128,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28" s="82"/>
    </row>
    <row r="129" spans="1:15">
      <c r="A129" t="s">
        <v>522</v>
      </c>
      <c r="B129" s="65">
        <v>1388</v>
      </c>
      <c r="C129" s="138">
        <f t="shared" si="8"/>
        <v>416.4</v>
      </c>
      <c r="D129" s="138"/>
      <c r="E129" t="str">
        <f t="shared" si="7"/>
        <v>WBC3648-R</v>
      </c>
      <c r="F129" t="str" cm="1">
        <f t="array" ref="F129">_xlfn.LET(
_xlpm.p,E129,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</v>
      </c>
      <c r="G129" cm="1">
        <f t="array" ref="G129">_xlfn.LET(
_xlpm.p,E129,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29" s="82" t="str" cm="1">
        <f t="array" ref="I129">_xlfn.LET(
_xlpm.p,E129,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29" s="82"/>
    </row>
    <row r="130" spans="1:15">
      <c r="A130" t="s">
        <v>523</v>
      </c>
      <c r="B130" s="65">
        <v>458</v>
      </c>
      <c r="C130" s="138">
        <f t="shared" si="8"/>
        <v>137.4</v>
      </c>
      <c r="D130" s="138"/>
      <c r="E130" t="str">
        <f t="shared" ref="E130:E193" si="13">_xlfn.TEXTAFTER(A130,"-")</f>
        <v>WBCT1530</v>
      </c>
      <c r="F130" t="str" cm="1">
        <f t="array" ref="F130">_xlfn.LET(
_xlpm.p,E130,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30" cm="1">
        <f t="array" ref="G130">_xlfn.LET(
_xlpm.p,E130,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30" s="82" t="str" cm="1">
        <f t="array" ref="I130">_xlfn.LET(
_xlpm.p,E130,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30" s="82"/>
      <c r="N130" t="str">
        <f t="shared" si="11"/>
        <v>N/A</v>
      </c>
      <c r="O130" t="str">
        <f t="shared" si="12"/>
        <v>N/A</v>
      </c>
    </row>
    <row r="131" spans="1:15">
      <c r="A131" t="s">
        <v>524</v>
      </c>
      <c r="B131" s="65">
        <v>504</v>
      </c>
      <c r="C131" s="138">
        <f t="shared" ref="C131:C194" si="14">B131*0.3</f>
        <v>151.19999999999999</v>
      </c>
      <c r="D131" s="138"/>
      <c r="E131" t="str">
        <f t="shared" si="13"/>
        <v>WBCT1536</v>
      </c>
      <c r="F131" t="str" cm="1">
        <f t="array" ref="F131">_xlfn.LET(
_xlpm.p,E131,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31" cm="1">
        <f t="array" ref="G131">_xlfn.LET(
_xlpm.p,E131,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31" s="82" t="str" cm="1">
        <f t="array" ref="I131">_xlfn.LET(
_xlpm.p,E131,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31" s="82"/>
      <c r="N131" t="str">
        <f t="shared" ref="N131:N194" si="15">IF(ISNUMBER(SEARCH("Cabinet",F131))=FALSE,"N/A",IF(K131&gt;=24,2,1))</f>
        <v>N/A</v>
      </c>
      <c r="O131" t="str">
        <f t="shared" ref="O131:O194" si="16">IF(ISNUMBER(SEARCH("Cabinet",F131))=FALSE,"N/A",
    IF(ISNUMBER(SEARCH("DB",E131)),
        IF(ISNUMBER(SEARCH("-2",E131)),2,3),
        IF(ISNUMBER(SEARCH("-PO",E131)),1,
            IF(LEFT(E131,1)="B",1,0)
        )
    )
)</f>
        <v>N/A</v>
      </c>
    </row>
    <row r="132" spans="1:15">
      <c r="A132" t="s">
        <v>525</v>
      </c>
      <c r="B132" s="65">
        <v>505</v>
      </c>
      <c r="C132" s="138">
        <f t="shared" si="14"/>
        <v>151.5</v>
      </c>
      <c r="D132" s="138"/>
      <c r="E132" t="str">
        <f t="shared" si="13"/>
        <v>WBCT1830</v>
      </c>
      <c r="F132" t="str" cm="1">
        <f t="array" ref="F132">_xlfn.LET(
_xlpm.p,E132,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32" cm="1">
        <f t="array" ref="G132">_xlfn.LET(
_xlpm.p,E132,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32" s="82" t="str" cm="1">
        <f t="array" ref="I132">_xlfn.LET(
_xlpm.p,E132,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32" s="82"/>
      <c r="N132" t="str">
        <f t="shared" si="15"/>
        <v>N/A</v>
      </c>
      <c r="O132" t="str">
        <f t="shared" si="16"/>
        <v>N/A</v>
      </c>
    </row>
    <row r="133" spans="1:15">
      <c r="A133" t="s">
        <v>526</v>
      </c>
      <c r="B133" s="65">
        <v>582</v>
      </c>
      <c r="C133" s="138">
        <f t="shared" si="14"/>
        <v>174.6</v>
      </c>
      <c r="D133" s="138"/>
      <c r="E133" t="str">
        <f t="shared" si="13"/>
        <v>WBCT1836</v>
      </c>
      <c r="F133" t="str" cm="1">
        <f t="array" ref="F133">_xlfn.LET(
_xlpm.p,E133,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33" cm="1">
        <f t="array" ref="G133">_xlfn.LET(
_xlpm.p,E133,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33" s="82" t="str" cm="1">
        <f t="array" ref="I133">_xlfn.LET(
_xlpm.p,E133,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33" s="82"/>
      <c r="N133" t="str">
        <f t="shared" si="15"/>
        <v>N/A</v>
      </c>
      <c r="O133" t="str">
        <f t="shared" si="16"/>
        <v>N/A</v>
      </c>
    </row>
    <row r="134" spans="1:15">
      <c r="A134" t="s">
        <v>527</v>
      </c>
      <c r="B134" s="65">
        <v>567</v>
      </c>
      <c r="C134" s="138">
        <f t="shared" si="14"/>
        <v>170.1</v>
      </c>
      <c r="D134" s="138"/>
      <c r="E134" t="str">
        <f t="shared" si="13"/>
        <v>WBCT2130</v>
      </c>
      <c r="F134" t="str" cm="1">
        <f t="array" ref="F134">_xlfn.LET(
_xlpm.p,E134,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34" cm="1">
        <f t="array" ref="G134">_xlfn.LET(
_xlpm.p,E134,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34" s="82" t="str" cm="1">
        <f t="array" ref="I134">_xlfn.LET(
_xlpm.p,E134,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34" s="82"/>
      <c r="N134" t="str">
        <f t="shared" si="15"/>
        <v>N/A</v>
      </c>
      <c r="O134" t="str">
        <f t="shared" si="16"/>
        <v>N/A</v>
      </c>
    </row>
    <row r="135" spans="1:15">
      <c r="A135" t="s">
        <v>528</v>
      </c>
      <c r="B135" s="65">
        <v>650</v>
      </c>
      <c r="C135" s="138">
        <f t="shared" si="14"/>
        <v>195</v>
      </c>
      <c r="D135" s="138"/>
      <c r="E135" t="str">
        <f t="shared" si="13"/>
        <v>WBCT2136</v>
      </c>
      <c r="F135" t="str" cm="1">
        <f t="array" ref="F135">_xlfn.LET(
_xlpm.p,E135,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35" cm="1">
        <f t="array" ref="G135">_xlfn.LET(
_xlpm.p,E135,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35" s="82" t="str" cm="1">
        <f t="array" ref="I135">_xlfn.LET(
_xlpm.p,E135,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35" s="82"/>
      <c r="N135" s="60" t="s">
        <v>743</v>
      </c>
      <c r="O135" s="60" t="s">
        <v>743</v>
      </c>
    </row>
    <row r="136" spans="1:15">
      <c r="A136" t="s">
        <v>718</v>
      </c>
      <c r="B136" s="65">
        <v>267</v>
      </c>
      <c r="C136" s="138">
        <f t="shared" si="14"/>
        <v>80.099999999999994</v>
      </c>
      <c r="D136" s="138"/>
      <c r="E136" t="str">
        <f t="shared" si="13"/>
        <v>WBCT2136-Door</v>
      </c>
      <c r="F136" t="str" cm="1">
        <f t="array" ref="F136">_xlfn.LET(
_xlpm.p,E136,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36" cm="1">
        <f t="array" ref="G136">_xlfn.LET(
_xlpm.p,E136,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36" s="82" t="str" cm="1">
        <f t="array" ref="I136">_xlfn.LET(
_xlpm.p,E136,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 - Door</v>
      </c>
      <c r="J136" s="82"/>
      <c r="N136" t="str">
        <f t="shared" si="15"/>
        <v>N/A</v>
      </c>
      <c r="O136" t="str">
        <f t="shared" si="16"/>
        <v>N/A</v>
      </c>
    </row>
    <row r="137" spans="1:15">
      <c r="A137" t="s">
        <v>529</v>
      </c>
      <c r="B137" s="65">
        <v>1013</v>
      </c>
      <c r="C137" s="138">
        <f t="shared" si="14"/>
        <v>303.89999999999998</v>
      </c>
      <c r="D137" s="138"/>
      <c r="E137" t="str">
        <f t="shared" si="13"/>
        <v>WBCT2148-L</v>
      </c>
      <c r="F137" t="str" cm="1">
        <f t="array" ref="F137">_xlfn.LET(
_xlpm.p,E137,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37" cm="1">
        <f t="array" ref="G137">_xlfn.LET(
_xlpm.p,E137,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37" s="82" t="str" cm="1">
        <f t="array" ref="I137">_xlfn.LET(
_xlpm.p,E137,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37" s="82"/>
    </row>
    <row r="138" spans="1:15">
      <c r="A138" t="s">
        <v>530</v>
      </c>
      <c r="B138" s="65">
        <v>1013</v>
      </c>
      <c r="C138" s="138">
        <f t="shared" si="14"/>
        <v>303.89999999999998</v>
      </c>
      <c r="D138" s="138"/>
      <c r="E138" t="str">
        <f t="shared" si="13"/>
        <v>WBCT2148-R</v>
      </c>
      <c r="F138" t="str" cm="1">
        <f t="array" ref="F138">_xlfn.LET(
_xlpm.p,E138,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38" cm="1">
        <f t="array" ref="G138">_xlfn.LET(
_xlpm.p,E138,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38" s="82" t="str" cm="1">
        <f t="array" ref="I138">_xlfn.LET(
_xlpm.p,E138,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38" s="82"/>
    </row>
    <row r="139" spans="1:15">
      <c r="A139" t="s">
        <v>531</v>
      </c>
      <c r="B139" s="65">
        <v>656</v>
      </c>
      <c r="C139" s="138">
        <f t="shared" si="14"/>
        <v>196.79999999999998</v>
      </c>
      <c r="D139" s="138"/>
      <c r="E139" t="str">
        <f t="shared" si="13"/>
        <v>WBCT2430</v>
      </c>
      <c r="F139" t="str" cm="1">
        <f t="array" ref="F139">_xlfn.LET(
_xlpm.p,E139,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39" cm="1">
        <f t="array" ref="G139">_xlfn.LET(
_xlpm.p,E139,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39" s="82" t="str" cm="1">
        <f t="array" ref="I139">_xlfn.LET(
_xlpm.p,E139,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39" s="82"/>
    </row>
    <row r="140" spans="1:15">
      <c r="A140" t="s">
        <v>532</v>
      </c>
      <c r="B140" s="65">
        <v>743</v>
      </c>
      <c r="C140" s="138">
        <f t="shared" si="14"/>
        <v>222.9</v>
      </c>
      <c r="D140" s="138"/>
      <c r="E140" t="str">
        <f t="shared" si="13"/>
        <v>WBCT2436</v>
      </c>
      <c r="F140" t="str" cm="1">
        <f t="array" ref="F140">_xlfn.LET(
_xlpm.p,E140,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40" cm="1">
        <f t="array" ref="G140">_xlfn.LET(
_xlpm.p,E140,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40" s="82" t="str" cm="1">
        <f t="array" ref="I140">_xlfn.LET(
_xlpm.p,E140,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40" s="82"/>
    </row>
    <row r="141" spans="1:15">
      <c r="A141" t="s">
        <v>719</v>
      </c>
      <c r="B141" s="65">
        <v>307</v>
      </c>
      <c r="C141" s="138">
        <f t="shared" si="14"/>
        <v>92.1</v>
      </c>
      <c r="D141" s="138"/>
      <c r="E141" t="str">
        <f t="shared" si="13"/>
        <v>WBCT2436-Door</v>
      </c>
      <c r="F141" t="str" cm="1">
        <f t="array" ref="F141">_xlfn.LET(
_xlpm.p,E141,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41" cm="1">
        <f t="array" ref="G141">_xlfn.LET(
_xlpm.p,E141,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41" s="82" t="str" cm="1">
        <f t="array" ref="I141">_xlfn.LET(
_xlpm.p,E141,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 - Door</v>
      </c>
      <c r="J141" s="82"/>
    </row>
    <row r="142" spans="1:15">
      <c r="A142" t="s">
        <v>533</v>
      </c>
      <c r="B142" s="65">
        <v>1169</v>
      </c>
      <c r="C142" s="138">
        <f t="shared" si="14"/>
        <v>350.7</v>
      </c>
      <c r="D142" s="138"/>
      <c r="E142" t="str">
        <f t="shared" si="13"/>
        <v>WBCT2448-L</v>
      </c>
      <c r="F142" t="str" cm="1">
        <f t="array" ref="F142">_xlfn.LET(
_xlpm.p,E142,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42" cm="1">
        <f t="array" ref="G142">_xlfn.LET(
_xlpm.p,E142,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42" s="82" t="str" cm="1">
        <f t="array" ref="I142">_xlfn.LET(
_xlpm.p,E142,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42" s="82"/>
    </row>
    <row r="143" spans="1:15">
      <c r="A143" t="s">
        <v>534</v>
      </c>
      <c r="B143" s="65">
        <v>1169</v>
      </c>
      <c r="C143" s="138">
        <f t="shared" si="14"/>
        <v>350.7</v>
      </c>
      <c r="D143" s="138"/>
      <c r="E143" t="str">
        <f t="shared" si="13"/>
        <v>WBCT2448-R</v>
      </c>
      <c r="F143" t="str" cm="1">
        <f t="array" ref="F143">_xlfn.LET(
_xlpm.p,E143,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43" cm="1">
        <f t="array" ref="G143">_xlfn.LET(
_xlpm.p,E143,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43" s="82" t="str" cm="1">
        <f t="array" ref="I143">_xlfn.LET(
_xlpm.p,E143,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43" s="82"/>
    </row>
    <row r="144" spans="1:15">
      <c r="A144" t="s">
        <v>535</v>
      </c>
      <c r="B144" s="65">
        <v>730</v>
      </c>
      <c r="C144" s="138">
        <f t="shared" si="14"/>
        <v>219</v>
      </c>
      <c r="D144" s="138"/>
      <c r="E144" t="str">
        <f t="shared" si="13"/>
        <v>WBCT2730</v>
      </c>
      <c r="F144" t="str" cm="1">
        <f t="array" ref="F144">_xlfn.LET(
_xlpm.p,E144,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44" cm="1">
        <f t="array" ref="G144">_xlfn.LET(
_xlpm.p,E144,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44" s="82" t="str" cm="1">
        <f t="array" ref="I144">_xlfn.LET(
_xlpm.p,E144,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44" s="82"/>
      <c r="N144" t="str">
        <f t="shared" si="15"/>
        <v>N/A</v>
      </c>
      <c r="O144" t="str">
        <f t="shared" si="16"/>
        <v>N/A</v>
      </c>
    </row>
    <row r="145" spans="1:15">
      <c r="A145" t="s">
        <v>537</v>
      </c>
      <c r="B145" s="65">
        <v>828</v>
      </c>
      <c r="C145" s="138">
        <f t="shared" si="14"/>
        <v>248.39999999999998</v>
      </c>
      <c r="D145" s="138"/>
      <c r="E145" t="str">
        <f t="shared" si="13"/>
        <v>WBCT2736</v>
      </c>
      <c r="F145" t="str" cm="1">
        <f t="array" ref="F145">_xlfn.LET(
_xlpm.p,E145,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45" cm="1">
        <f t="array" ref="G145">_xlfn.LET(
_xlpm.p,E145,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45" s="82" t="str" cm="1">
        <f t="array" ref="I145">_xlfn.LET(
_xlpm.p,E145,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45" s="82"/>
      <c r="N145" t="str">
        <f t="shared" si="15"/>
        <v>N/A</v>
      </c>
      <c r="O145" t="str">
        <f t="shared" si="16"/>
        <v>N/A</v>
      </c>
    </row>
    <row r="146" spans="1:15">
      <c r="A146" t="s">
        <v>536</v>
      </c>
      <c r="B146" s="65">
        <v>792</v>
      </c>
      <c r="C146" s="138">
        <f t="shared" si="14"/>
        <v>237.6</v>
      </c>
      <c r="D146" s="138"/>
      <c r="E146" t="str">
        <f t="shared" si="13"/>
        <v>WBCT3030</v>
      </c>
      <c r="F146" t="str" cm="1">
        <f t="array" ref="F146">_xlfn.LET(
_xlpm.p,E146,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46" cm="1">
        <f t="array" ref="G146">_xlfn.LET(
_xlpm.p,E146,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46" s="82" t="str" cm="1">
        <f t="array" ref="I146">_xlfn.LET(
_xlpm.p,E146,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46" s="82"/>
      <c r="N146" t="str">
        <f t="shared" si="15"/>
        <v>N/A</v>
      </c>
      <c r="O146" t="str">
        <f t="shared" si="16"/>
        <v>N/A</v>
      </c>
    </row>
    <row r="147" spans="1:15">
      <c r="A147" t="s">
        <v>538</v>
      </c>
      <c r="B147" s="65">
        <v>893</v>
      </c>
      <c r="C147" s="138">
        <f t="shared" si="14"/>
        <v>267.89999999999998</v>
      </c>
      <c r="D147" s="138"/>
      <c r="E147" t="str">
        <f t="shared" si="13"/>
        <v>WBCT3036</v>
      </c>
      <c r="F147" t="str" cm="1">
        <f t="array" ref="F147">_xlfn.LET(
_xlpm.p,E147,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47" cm="1">
        <f t="array" ref="G147">_xlfn.LET(
_xlpm.p,E147,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47" s="82" t="str" cm="1">
        <f t="array" ref="I147">_xlfn.LET(
_xlpm.p,E147,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47" s="82"/>
      <c r="N147" t="str">
        <f t="shared" si="15"/>
        <v>N/A</v>
      </c>
      <c r="O147" t="str">
        <f t="shared" si="16"/>
        <v>N/A</v>
      </c>
    </row>
    <row r="148" spans="1:15">
      <c r="A148" t="s">
        <v>539</v>
      </c>
      <c r="B148" s="65">
        <v>972</v>
      </c>
      <c r="C148" s="138">
        <f t="shared" si="14"/>
        <v>291.59999999999997</v>
      </c>
      <c r="D148" s="138"/>
      <c r="E148" t="str">
        <f t="shared" si="13"/>
        <v>WBCT3336</v>
      </c>
      <c r="F148" t="str" cm="1">
        <f t="array" ref="F148">_xlfn.LET(
_xlpm.p,E148,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48" cm="1">
        <f t="array" ref="G148">_xlfn.LET(
_xlpm.p,E148,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48" s="82" t="str" cm="1">
        <f t="array" ref="I148">_xlfn.LET(
_xlpm.p,E148,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48" s="82"/>
      <c r="N148" t="str">
        <f t="shared" si="15"/>
        <v>N/A</v>
      </c>
      <c r="O148" t="str">
        <f t="shared" si="16"/>
        <v>N/A</v>
      </c>
    </row>
    <row r="149" spans="1:15">
      <c r="A149" t="s">
        <v>540</v>
      </c>
      <c r="B149" s="65">
        <v>1036</v>
      </c>
      <c r="C149" s="138">
        <f t="shared" si="14"/>
        <v>310.8</v>
      </c>
      <c r="D149" s="138"/>
      <c r="E149" t="str">
        <f t="shared" si="13"/>
        <v>WBCT3636</v>
      </c>
      <c r="F149" t="str" cm="1">
        <f t="array" ref="F149">_xlfn.LET(
_xlpm.p,E149,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49" cm="1">
        <f t="array" ref="G149">_xlfn.LET(
_xlpm.p,E149,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49" s="82" t="str" cm="1">
        <f t="array" ref="I149">_xlfn.LET(
_xlpm.p,E149,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49" s="82"/>
      <c r="N149" t="str">
        <f t="shared" si="15"/>
        <v>N/A</v>
      </c>
      <c r="O149" t="str">
        <f t="shared" si="16"/>
        <v>N/A</v>
      </c>
    </row>
    <row r="150" spans="1:15">
      <c r="A150" t="s">
        <v>541</v>
      </c>
      <c r="B150" s="65">
        <v>726</v>
      </c>
      <c r="C150" s="138">
        <f t="shared" si="14"/>
        <v>217.79999999999998</v>
      </c>
      <c r="D150" s="138"/>
      <c r="E150" t="str">
        <f t="shared" si="13"/>
        <v>WBL2430</v>
      </c>
      <c r="F150" t="str" cm="1">
        <f t="array" ref="F150">_xlfn.LET(
_xlpm.p,E150,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Left</v>
      </c>
      <c r="G150" cm="1">
        <f t="array" ref="G150">_xlfn.LET(
_xlpm.p,E150,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50" s="82" t="str" cm="1">
        <f t="array" ref="I150">_xlfn.LET(
_xlpm.p,E150,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50" s="82"/>
      <c r="N150" s="60" t="s">
        <v>743</v>
      </c>
      <c r="O150" s="60" t="s">
        <v>743</v>
      </c>
    </row>
    <row r="151" spans="1:15">
      <c r="A151" t="s">
        <v>542</v>
      </c>
      <c r="B151" s="65">
        <v>810</v>
      </c>
      <c r="C151" s="138">
        <f t="shared" si="14"/>
        <v>243</v>
      </c>
      <c r="D151" s="138"/>
      <c r="E151" t="str">
        <f t="shared" si="13"/>
        <v>WBL2436</v>
      </c>
      <c r="F151" t="str" cm="1">
        <f t="array" ref="F151">_xlfn.LET(
_xlpm.p,E151,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Left</v>
      </c>
      <c r="G151" cm="1">
        <f t="array" ref="G151">_xlfn.LET(
_xlpm.p,E151,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51" s="82" t="str" cm="1">
        <f t="array" ref="I151">_xlfn.LET(
_xlpm.p,E151,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51" s="82"/>
      <c r="N151" t="str">
        <f t="shared" si="15"/>
        <v>N/A</v>
      </c>
      <c r="O151" t="str">
        <f t="shared" si="16"/>
        <v>N/A</v>
      </c>
    </row>
    <row r="152" spans="1:15">
      <c r="A152" t="s">
        <v>543</v>
      </c>
      <c r="B152" s="65">
        <v>759</v>
      </c>
      <c r="C152" s="138">
        <f t="shared" si="14"/>
        <v>227.7</v>
      </c>
      <c r="D152" s="138"/>
      <c r="E152" t="str">
        <f t="shared" si="13"/>
        <v>WBL2730</v>
      </c>
      <c r="F152" t="str" cm="1">
        <f t="array" ref="F152">_xlfn.LET(
_xlpm.p,E152,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Left</v>
      </c>
      <c r="G152" cm="1">
        <f t="array" ref="G152">_xlfn.LET(
_xlpm.p,E152,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52" s="82" t="str" cm="1">
        <f t="array" ref="I152">_xlfn.LET(
_xlpm.p,E152,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52" s="82"/>
      <c r="N152" t="str">
        <f t="shared" si="15"/>
        <v>N/A</v>
      </c>
      <c r="O152" t="str">
        <f t="shared" si="16"/>
        <v>N/A</v>
      </c>
    </row>
    <row r="153" spans="1:15">
      <c r="A153" t="s">
        <v>544</v>
      </c>
      <c r="B153" s="65">
        <v>842</v>
      </c>
      <c r="C153" s="138">
        <f t="shared" si="14"/>
        <v>252.6</v>
      </c>
      <c r="D153" s="138"/>
      <c r="E153" t="str">
        <f t="shared" si="13"/>
        <v>WBL2736</v>
      </c>
      <c r="F153" t="str" cm="1">
        <f t="array" ref="F153">_xlfn.LET(
_xlpm.p,E153,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Left</v>
      </c>
      <c r="G153" cm="1">
        <f t="array" ref="G153">_xlfn.LET(
_xlpm.p,E153,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53" s="82" t="str" cm="1">
        <f t="array" ref="I153">_xlfn.LET(
_xlpm.p,E153,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53" s="82"/>
    </row>
    <row r="154" spans="1:15">
      <c r="A154" t="s">
        <v>545</v>
      </c>
      <c r="B154" s="65">
        <v>979</v>
      </c>
      <c r="C154" s="138">
        <f t="shared" si="14"/>
        <v>293.7</v>
      </c>
      <c r="D154" s="138"/>
      <c r="E154" t="str">
        <f t="shared" si="13"/>
        <v>WBL2748</v>
      </c>
      <c r="F154" t="str" cm="1">
        <f t="array" ref="F154">_xlfn.LET(
_xlpm.p,E154,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Left</v>
      </c>
      <c r="G154" cm="1">
        <f t="array" ref="G154">_xlfn.LET(
_xlpm.p,E154,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54" s="82" t="str" cm="1">
        <f t="array" ref="I154">_xlfn.LET(
_xlpm.p,E154,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54" s="82"/>
      <c r="N154" t="str">
        <f t="shared" si="15"/>
        <v>N/A</v>
      </c>
      <c r="O154" t="str">
        <f t="shared" si="16"/>
        <v>N/A</v>
      </c>
    </row>
    <row r="155" spans="1:15">
      <c r="A155" t="s">
        <v>446</v>
      </c>
      <c r="B155" s="65">
        <v>347</v>
      </c>
      <c r="C155" s="138">
        <f t="shared" si="14"/>
        <v>104.1</v>
      </c>
      <c r="D155" s="138"/>
      <c r="E155" t="str">
        <f t="shared" si="13"/>
        <v>W0930</v>
      </c>
      <c r="F155" t="str" cm="1">
        <f t="array" ref="F155">_xlfn.LET(
_xlpm.p,E155,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55" t="str" cm="1">
        <f t="array" ref="G155">_xlfn.LET(
_xlpm.p,E155,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55" s="75" t="s">
        <v>744</v>
      </c>
      <c r="I155" s="68" t="str" cm="1">
        <f t="array" ref="I155">_xlfn.LET(
_xlpm.p,E155,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55" s="68" t="s">
        <v>758</v>
      </c>
      <c r="K155">
        <v>9</v>
      </c>
      <c r="L155">
        <v>30</v>
      </c>
      <c r="M155">
        <v>12</v>
      </c>
      <c r="N155">
        <f t="shared" si="15"/>
        <v>1</v>
      </c>
      <c r="O155">
        <f t="shared" si="16"/>
        <v>0</v>
      </c>
    </row>
    <row r="156" spans="1:15">
      <c r="A156" t="s">
        <v>447</v>
      </c>
      <c r="B156" s="65">
        <v>397</v>
      </c>
      <c r="C156" s="138">
        <f t="shared" si="14"/>
        <v>119.1</v>
      </c>
      <c r="D156" s="138"/>
      <c r="E156" t="str">
        <f t="shared" si="13"/>
        <v>W0936</v>
      </c>
      <c r="F156" t="str" cm="1">
        <f t="array" ref="F156">_xlfn.LET(
_xlpm.p,E156,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56" t="str" cm="1">
        <f t="array" ref="G156">_xlfn.LET(
_xlpm.p,E156,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56" s="75" t="s">
        <v>744</v>
      </c>
      <c r="I156" s="68" t="str" cm="1">
        <f t="array" ref="I156">_xlfn.LET(
_xlpm.p,E156,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56" s="68" t="s">
        <v>758</v>
      </c>
      <c r="K156">
        <v>9</v>
      </c>
      <c r="L156">
        <v>36</v>
      </c>
      <c r="M156">
        <v>12</v>
      </c>
    </row>
    <row r="157" spans="1:15">
      <c r="A157" s="60" t="s">
        <v>707</v>
      </c>
      <c r="B157" s="65">
        <v>117</v>
      </c>
      <c r="C157" s="138">
        <f t="shared" si="14"/>
        <v>35.1</v>
      </c>
      <c r="D157" s="138"/>
      <c r="E157" t="str">
        <f t="shared" si="13"/>
        <v>W0936-Door</v>
      </c>
      <c r="F157" t="str" cm="1">
        <f t="array" ref="F157">_xlfn.LET(
_xlpm.p,E157,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57" t="str" cm="1">
        <f t="array" ref="G157">_xlfn.LET(
_xlpm.p,E157,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57" s="75" t="s">
        <v>746</v>
      </c>
      <c r="I157" s="68" t="str" cm="1">
        <f t="array" ref="I157">_xlfn.LET(
_xlpm.p,E157,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 - Door</v>
      </c>
      <c r="J157" s="68" t="s">
        <v>758</v>
      </c>
      <c r="K157">
        <v>9</v>
      </c>
      <c r="L157">
        <v>36</v>
      </c>
      <c r="M157" s="60" t="s">
        <v>743</v>
      </c>
    </row>
    <row r="158" spans="1:15">
      <c r="A158" t="s">
        <v>448</v>
      </c>
      <c r="B158" s="65">
        <v>394</v>
      </c>
      <c r="C158" s="138">
        <f t="shared" si="14"/>
        <v>118.19999999999999</v>
      </c>
      <c r="D158" s="138"/>
      <c r="E158" t="str">
        <f t="shared" si="13"/>
        <v>W1230</v>
      </c>
      <c r="F158" t="str" cm="1">
        <f t="array" ref="F158">_xlfn.LET(
_xlpm.p,E158,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58" t="str" cm="1">
        <f t="array" ref="G158">_xlfn.LET(
_xlpm.p,E158,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58" s="75" t="s">
        <v>744</v>
      </c>
      <c r="I158" s="68" t="str" cm="1">
        <f t="array" ref="I158">_xlfn.LET(
_xlpm.p,E158,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58" s="68" t="s">
        <v>758</v>
      </c>
      <c r="K158">
        <v>12</v>
      </c>
      <c r="L158">
        <v>30</v>
      </c>
      <c r="M158">
        <v>12</v>
      </c>
    </row>
    <row r="159" spans="1:15">
      <c r="A159" t="s">
        <v>449</v>
      </c>
      <c r="B159" s="65">
        <v>450</v>
      </c>
      <c r="C159" s="138">
        <f t="shared" si="14"/>
        <v>135</v>
      </c>
      <c r="D159" s="138"/>
      <c r="E159" t="str">
        <f t="shared" si="13"/>
        <v>W1236</v>
      </c>
      <c r="F159" t="str" cm="1">
        <f t="array" ref="F159">_xlfn.LET(
_xlpm.p,E159,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59" t="str" cm="1">
        <f t="array" ref="G159">_xlfn.LET(
_xlpm.p,E159,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59" s="75" t="s">
        <v>744</v>
      </c>
      <c r="I159" s="68" t="str" cm="1">
        <f t="array" ref="I159">_xlfn.LET(
_xlpm.p,E159,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59" s="68" t="s">
        <v>758</v>
      </c>
      <c r="K159">
        <v>12</v>
      </c>
      <c r="L159">
        <v>36</v>
      </c>
      <c r="M159">
        <v>12</v>
      </c>
      <c r="N159">
        <f t="shared" si="15"/>
        <v>1</v>
      </c>
      <c r="O159">
        <f t="shared" si="16"/>
        <v>0</v>
      </c>
    </row>
    <row r="160" spans="1:15">
      <c r="A160" t="s">
        <v>708</v>
      </c>
      <c r="B160" s="65">
        <v>156</v>
      </c>
      <c r="C160" s="138">
        <f t="shared" si="14"/>
        <v>46.8</v>
      </c>
      <c r="D160" s="138"/>
      <c r="E160" t="str">
        <f t="shared" si="13"/>
        <v>W1236-Door</v>
      </c>
      <c r="F160" t="str" cm="1">
        <f t="array" ref="F160">_xlfn.LET(
_xlpm.p,E160,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60" t="str" cm="1">
        <f t="array" ref="G160">_xlfn.LET(
_xlpm.p,E160,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60" s="75" t="s">
        <v>746</v>
      </c>
      <c r="I160" s="68" t="str" cm="1">
        <f t="array" ref="I160">_xlfn.LET(
_xlpm.p,E160,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 - Door</v>
      </c>
      <c r="J160" s="68" t="s">
        <v>758</v>
      </c>
      <c r="K160">
        <v>12</v>
      </c>
      <c r="L160">
        <v>36</v>
      </c>
      <c r="M160" s="60" t="s">
        <v>743</v>
      </c>
      <c r="N160">
        <f t="shared" si="15"/>
        <v>1</v>
      </c>
      <c r="O160">
        <f t="shared" si="16"/>
        <v>0</v>
      </c>
    </row>
    <row r="161" spans="1:15">
      <c r="A161" t="s">
        <v>450</v>
      </c>
      <c r="B161" s="65">
        <v>749</v>
      </c>
      <c r="C161" s="138">
        <f t="shared" si="14"/>
        <v>224.7</v>
      </c>
      <c r="D161" s="138"/>
      <c r="E161" t="str">
        <f t="shared" si="13"/>
        <v>W1248</v>
      </c>
      <c r="F161" t="str" cm="1">
        <f t="array" ref="F161">_xlfn.LET(
_xlpm.p,E161,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61" t="str" cm="1">
        <f t="array" ref="G161">_xlfn.LET(
_xlpm.p,E161,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61" s="75" t="s">
        <v>744</v>
      </c>
      <c r="I161" s="68" t="str" cm="1">
        <f t="array" ref="I161">_xlfn.LET(
_xlpm.p,E161,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61" s="68" t="s">
        <v>758</v>
      </c>
      <c r="K161">
        <v>12</v>
      </c>
      <c r="L161">
        <v>48</v>
      </c>
      <c r="M161">
        <v>12</v>
      </c>
      <c r="N161">
        <f t="shared" si="15"/>
        <v>1</v>
      </c>
      <c r="O161">
        <f t="shared" si="16"/>
        <v>0</v>
      </c>
    </row>
    <row r="162" spans="1:15">
      <c r="A162" t="s">
        <v>451</v>
      </c>
      <c r="B162" s="65">
        <v>450</v>
      </c>
      <c r="C162" s="138">
        <f t="shared" si="14"/>
        <v>135</v>
      </c>
      <c r="D162" s="138"/>
      <c r="E162" t="str">
        <f t="shared" si="13"/>
        <v>W1530</v>
      </c>
      <c r="F162" t="str" cm="1">
        <f t="array" ref="F162">_xlfn.LET(
_xlpm.p,E162,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62" t="str" cm="1">
        <f t="array" ref="G162">_xlfn.LET(
_xlpm.p,E162,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62" s="75" t="s">
        <v>744</v>
      </c>
      <c r="I162" s="68" t="str" cm="1">
        <f t="array" ref="I162">_xlfn.LET(
_xlpm.p,E162,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62" s="68" t="s">
        <v>758</v>
      </c>
      <c r="K162">
        <v>15</v>
      </c>
      <c r="L162">
        <v>30</v>
      </c>
      <c r="M162">
        <v>12</v>
      </c>
      <c r="N162">
        <f t="shared" si="15"/>
        <v>1</v>
      </c>
      <c r="O162">
        <f t="shared" si="16"/>
        <v>0</v>
      </c>
    </row>
    <row r="163" spans="1:15">
      <c r="A163" t="s">
        <v>452</v>
      </c>
      <c r="B163" s="65">
        <v>519</v>
      </c>
      <c r="C163" s="138">
        <f t="shared" si="14"/>
        <v>155.69999999999999</v>
      </c>
      <c r="D163" s="138"/>
      <c r="E163" t="str">
        <f t="shared" si="13"/>
        <v>W1536</v>
      </c>
      <c r="F163" t="str" cm="1">
        <f t="array" ref="F163">_xlfn.LET(
_xlpm.p,E163,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63" t="str" cm="1">
        <f t="array" ref="G163">_xlfn.LET(
_xlpm.p,E163,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63" s="75" t="s">
        <v>744</v>
      </c>
      <c r="I163" s="68" t="str" cm="1">
        <f t="array" ref="I163">_xlfn.LET(
_xlpm.p,E163,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63" s="68" t="s">
        <v>758</v>
      </c>
      <c r="K163">
        <v>15</v>
      </c>
      <c r="L163">
        <v>36</v>
      </c>
      <c r="M163">
        <v>12</v>
      </c>
      <c r="N163">
        <f t="shared" si="15"/>
        <v>1</v>
      </c>
      <c r="O163">
        <f t="shared" si="16"/>
        <v>0</v>
      </c>
    </row>
    <row r="164" spans="1:15">
      <c r="A164" t="s">
        <v>709</v>
      </c>
      <c r="B164" s="65">
        <v>195</v>
      </c>
      <c r="C164" s="138">
        <f t="shared" si="14"/>
        <v>58.5</v>
      </c>
      <c r="D164" s="138"/>
      <c r="E164" t="str">
        <f t="shared" si="13"/>
        <v>W1536-Door</v>
      </c>
      <c r="F164" t="str" cm="1">
        <f t="array" ref="F164">_xlfn.LET(
_xlpm.p,E164,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64" t="str" cm="1">
        <f t="array" ref="G164">_xlfn.LET(
_xlpm.p,E164,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64" s="75" t="s">
        <v>746</v>
      </c>
      <c r="I164" s="68" t="str" cm="1">
        <f t="array" ref="I164">_xlfn.LET(
_xlpm.p,E164,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 - Door</v>
      </c>
      <c r="J164" s="68" t="s">
        <v>758</v>
      </c>
      <c r="K164">
        <v>15</v>
      </c>
      <c r="L164">
        <v>36</v>
      </c>
      <c r="M164" s="60" t="s">
        <v>743</v>
      </c>
      <c r="N164">
        <f t="shared" si="15"/>
        <v>1</v>
      </c>
      <c r="O164">
        <f t="shared" si="16"/>
        <v>0</v>
      </c>
    </row>
    <row r="165" spans="1:15">
      <c r="A165" t="s">
        <v>453</v>
      </c>
      <c r="B165" s="65">
        <v>900</v>
      </c>
      <c r="C165" s="138">
        <f t="shared" si="14"/>
        <v>270</v>
      </c>
      <c r="D165" s="138"/>
      <c r="E165" t="str">
        <f t="shared" si="13"/>
        <v>W1548</v>
      </c>
      <c r="F165" t="str" cm="1">
        <f t="array" ref="F165">_xlfn.LET(
_xlpm.p,E165,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65" t="str" cm="1">
        <f t="array" ref="G165">_xlfn.LET(
_xlpm.p,E165,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65" s="75" t="s">
        <v>744</v>
      </c>
      <c r="I165" s="68" t="str" cm="1">
        <f t="array" ref="I165">_xlfn.LET(
_xlpm.p,E165,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65" s="68" t="s">
        <v>758</v>
      </c>
      <c r="K165">
        <v>15</v>
      </c>
      <c r="L165">
        <v>48</v>
      </c>
      <c r="M165">
        <v>12</v>
      </c>
      <c r="N165">
        <f t="shared" si="15"/>
        <v>1</v>
      </c>
      <c r="O165">
        <f t="shared" si="16"/>
        <v>0</v>
      </c>
    </row>
    <row r="166" spans="1:15">
      <c r="A166" t="s">
        <v>454</v>
      </c>
      <c r="B166" s="65">
        <v>499</v>
      </c>
      <c r="C166" s="138">
        <f t="shared" si="14"/>
        <v>149.69999999999999</v>
      </c>
      <c r="D166" s="138"/>
      <c r="E166" t="str">
        <f t="shared" si="13"/>
        <v>W1830</v>
      </c>
      <c r="F166" t="str" cm="1">
        <f t="array" ref="F166">_xlfn.LET(
_xlpm.p,E166,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66" t="str" cm="1">
        <f t="array" ref="G166">_xlfn.LET(
_xlpm.p,E166,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66" s="75" t="s">
        <v>744</v>
      </c>
      <c r="I166" s="68" t="str" cm="1">
        <f t="array" ref="I166">_xlfn.LET(
_xlpm.p,E166,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66" s="68" t="s">
        <v>758</v>
      </c>
      <c r="K166">
        <v>18</v>
      </c>
      <c r="L166">
        <v>30</v>
      </c>
      <c r="M166">
        <v>12</v>
      </c>
      <c r="N166">
        <f t="shared" si="15"/>
        <v>1</v>
      </c>
      <c r="O166">
        <f t="shared" si="16"/>
        <v>0</v>
      </c>
    </row>
    <row r="167" spans="1:15">
      <c r="A167" t="s">
        <v>455</v>
      </c>
      <c r="B167" s="65">
        <v>567</v>
      </c>
      <c r="C167" s="138">
        <f t="shared" si="14"/>
        <v>170.1</v>
      </c>
      <c r="D167" s="138"/>
      <c r="E167" t="str">
        <f t="shared" si="13"/>
        <v>W1836</v>
      </c>
      <c r="F167" t="str" cm="1">
        <f t="array" ref="F167">_xlfn.LET(
_xlpm.p,E167,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67" t="str" cm="1">
        <f t="array" ref="G167">_xlfn.LET(
_xlpm.p,E167,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67" s="75" t="s">
        <v>744</v>
      </c>
      <c r="I167" s="68" t="str" cm="1">
        <f t="array" ref="I167">_xlfn.LET(
_xlpm.p,E167,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67" s="68" t="s">
        <v>758</v>
      </c>
      <c r="K167">
        <v>18</v>
      </c>
      <c r="L167">
        <v>36</v>
      </c>
      <c r="M167">
        <v>12</v>
      </c>
      <c r="N167">
        <f t="shared" si="15"/>
        <v>1</v>
      </c>
      <c r="O167">
        <f t="shared" si="16"/>
        <v>0</v>
      </c>
    </row>
    <row r="168" spans="1:15">
      <c r="A168" t="s">
        <v>710</v>
      </c>
      <c r="B168" s="65">
        <v>235</v>
      </c>
      <c r="C168" s="138">
        <f t="shared" si="14"/>
        <v>70.5</v>
      </c>
      <c r="D168" s="138"/>
      <c r="E168" t="str">
        <f t="shared" si="13"/>
        <v>W1836-Door</v>
      </c>
      <c r="F168" t="str" cm="1">
        <f t="array" ref="F168">_xlfn.LET(
_xlpm.p,E168,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68" t="str" cm="1">
        <f t="array" ref="G168">_xlfn.LET(
_xlpm.p,E168,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68" s="75" t="s">
        <v>746</v>
      </c>
      <c r="I168" s="68" t="str" cm="1">
        <f t="array" ref="I168">_xlfn.LET(
_xlpm.p,E168,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 - Door</v>
      </c>
      <c r="J168" s="68" t="s">
        <v>758</v>
      </c>
      <c r="K168">
        <v>18</v>
      </c>
      <c r="L168">
        <v>36</v>
      </c>
      <c r="M168" s="60" t="s">
        <v>743</v>
      </c>
      <c r="N168">
        <f t="shared" si="15"/>
        <v>1</v>
      </c>
      <c r="O168">
        <f t="shared" si="16"/>
        <v>0</v>
      </c>
    </row>
    <row r="169" spans="1:15">
      <c r="A169" t="s">
        <v>456</v>
      </c>
      <c r="B169" s="65">
        <v>996</v>
      </c>
      <c r="C169" s="138">
        <f t="shared" si="14"/>
        <v>298.8</v>
      </c>
      <c r="D169" s="138"/>
      <c r="E169" t="str">
        <f t="shared" si="13"/>
        <v>W1848</v>
      </c>
      <c r="F169" t="str" cm="1">
        <f t="array" ref="F169">_xlfn.LET(
_xlpm.p,E169,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69" t="str" cm="1">
        <f t="array" ref="G169">_xlfn.LET(
_xlpm.p,E169,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69" s="75" t="s">
        <v>744</v>
      </c>
      <c r="I169" s="68" t="str" cm="1">
        <f t="array" ref="I169">_xlfn.LET(
_xlpm.p,E169,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69" s="68" t="s">
        <v>758</v>
      </c>
      <c r="K169">
        <v>18</v>
      </c>
      <c r="L169">
        <v>48</v>
      </c>
      <c r="M169">
        <v>12</v>
      </c>
      <c r="N169">
        <f t="shared" si="15"/>
        <v>1</v>
      </c>
      <c r="O169">
        <f t="shared" si="16"/>
        <v>0</v>
      </c>
    </row>
    <row r="170" spans="1:15">
      <c r="A170" t="s">
        <v>457</v>
      </c>
      <c r="B170" s="65">
        <v>562</v>
      </c>
      <c r="C170" s="138">
        <f t="shared" si="14"/>
        <v>168.6</v>
      </c>
      <c r="D170" s="138"/>
      <c r="E170" t="str">
        <f t="shared" si="13"/>
        <v>W2130</v>
      </c>
      <c r="F170" t="str" cm="1">
        <f t="array" ref="F170">_xlfn.LET(
_xlpm.p,E170,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70" t="str" cm="1">
        <f t="array" ref="G170">_xlfn.LET(
_xlpm.p,E170,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70" s="75" t="s">
        <v>744</v>
      </c>
      <c r="I170" s="68" t="str" cm="1">
        <f t="array" ref="I170">_xlfn.LET(
_xlpm.p,E170,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70" s="68" t="s">
        <v>758</v>
      </c>
      <c r="K170">
        <v>21</v>
      </c>
      <c r="L170">
        <v>30</v>
      </c>
      <c r="M170">
        <v>12</v>
      </c>
      <c r="N170">
        <f t="shared" si="15"/>
        <v>1</v>
      </c>
      <c r="O170">
        <f t="shared" si="16"/>
        <v>0</v>
      </c>
    </row>
    <row r="171" spans="1:15">
      <c r="A171" t="s">
        <v>458</v>
      </c>
      <c r="B171" s="65">
        <v>628</v>
      </c>
      <c r="C171" s="138">
        <f t="shared" si="14"/>
        <v>188.4</v>
      </c>
      <c r="D171" s="138"/>
      <c r="E171" t="str">
        <f t="shared" si="13"/>
        <v>W2136</v>
      </c>
      <c r="F171" t="str" cm="1">
        <f t="array" ref="F171">_xlfn.LET(
_xlpm.p,E171,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71" t="str" cm="1">
        <f t="array" ref="G171">_xlfn.LET(
_xlpm.p,E171,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71" s="75" t="s">
        <v>744</v>
      </c>
      <c r="I171" s="68" t="str" cm="1">
        <f t="array" ref="I171">_xlfn.LET(
_xlpm.p,E171,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71" s="68" t="s">
        <v>758</v>
      </c>
      <c r="K171">
        <v>21</v>
      </c>
      <c r="L171">
        <v>36</v>
      </c>
      <c r="M171">
        <v>12</v>
      </c>
      <c r="N171">
        <f t="shared" si="15"/>
        <v>1</v>
      </c>
      <c r="O171">
        <f t="shared" si="16"/>
        <v>0</v>
      </c>
    </row>
    <row r="172" spans="1:15">
      <c r="A172" t="s">
        <v>711</v>
      </c>
      <c r="B172" s="65">
        <v>274</v>
      </c>
      <c r="C172" s="138">
        <f t="shared" si="14"/>
        <v>82.2</v>
      </c>
      <c r="D172" s="138"/>
      <c r="E172" t="str">
        <f t="shared" si="13"/>
        <v>W2136-Door</v>
      </c>
      <c r="F172" t="str" cm="1">
        <f t="array" ref="F172">_xlfn.LET(
_xlpm.p,E172,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72" t="str" cm="1">
        <f t="array" ref="G172">_xlfn.LET(
_xlpm.p,E172,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72" s="75" t="s">
        <v>746</v>
      </c>
      <c r="I172" s="68" t="str" cm="1">
        <f t="array" ref="I172">_xlfn.LET(
_xlpm.p,E172,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 - Door</v>
      </c>
      <c r="J172" s="68" t="s">
        <v>758</v>
      </c>
      <c r="K172">
        <v>21</v>
      </c>
      <c r="L172">
        <v>36</v>
      </c>
      <c r="M172" s="60" t="s">
        <v>743</v>
      </c>
      <c r="N172">
        <f t="shared" si="15"/>
        <v>1</v>
      </c>
      <c r="O172">
        <f t="shared" si="16"/>
        <v>0</v>
      </c>
    </row>
    <row r="173" spans="1:15">
      <c r="A173" t="s">
        <v>459</v>
      </c>
      <c r="B173" s="65">
        <v>1092</v>
      </c>
      <c r="C173" s="138">
        <f t="shared" si="14"/>
        <v>327.59999999999997</v>
      </c>
      <c r="D173" s="138"/>
      <c r="E173" t="str">
        <f t="shared" si="13"/>
        <v>W2148</v>
      </c>
      <c r="F173" t="str" cm="1">
        <f t="array" ref="F173">_xlfn.LET(
_xlpm.p,E173,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73" t="str" cm="1">
        <f t="array" ref="G173">_xlfn.LET(
_xlpm.p,E173,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73" s="75" t="s">
        <v>744</v>
      </c>
      <c r="I173" s="68" t="str" cm="1">
        <f t="array" ref="I173">_xlfn.LET(
_xlpm.p,E173,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73" s="68" t="s">
        <v>758</v>
      </c>
      <c r="K173">
        <v>21</v>
      </c>
      <c r="L173">
        <v>48</v>
      </c>
      <c r="M173">
        <v>12</v>
      </c>
      <c r="N173">
        <f t="shared" si="15"/>
        <v>1</v>
      </c>
      <c r="O173">
        <f t="shared" si="16"/>
        <v>0</v>
      </c>
    </row>
    <row r="174" spans="1:15">
      <c r="A174" t="s">
        <v>460</v>
      </c>
      <c r="B174" s="65">
        <v>634</v>
      </c>
      <c r="C174" s="138">
        <f t="shared" si="14"/>
        <v>190.2</v>
      </c>
      <c r="D174" s="138"/>
      <c r="E174" t="str">
        <f t="shared" si="13"/>
        <v>W2430</v>
      </c>
      <c r="F174" t="str" cm="1">
        <f t="array" ref="F174">_xlfn.LET(
_xlpm.p,E174,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74" t="str" cm="1">
        <f t="array" ref="G174">_xlfn.LET(
_xlpm.p,E174,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74" s="75" t="s">
        <v>744</v>
      </c>
      <c r="I174" s="68" t="str" cm="1">
        <f t="array" ref="I174">_xlfn.LET(
_xlpm.p,E174,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74" s="68" t="s">
        <v>758</v>
      </c>
      <c r="K174">
        <v>24</v>
      </c>
      <c r="L174">
        <v>30</v>
      </c>
      <c r="M174">
        <v>12</v>
      </c>
      <c r="N174">
        <f t="shared" si="15"/>
        <v>2</v>
      </c>
      <c r="O174">
        <f t="shared" si="16"/>
        <v>0</v>
      </c>
    </row>
    <row r="175" spans="1:15">
      <c r="A175" t="s">
        <v>461</v>
      </c>
      <c r="B175" s="65">
        <v>728</v>
      </c>
      <c r="C175" s="138">
        <f t="shared" si="14"/>
        <v>218.4</v>
      </c>
      <c r="D175" s="138"/>
      <c r="E175" t="str">
        <f t="shared" si="13"/>
        <v>W2436</v>
      </c>
      <c r="F175" t="str" cm="1">
        <f t="array" ref="F175">_xlfn.LET(
_xlpm.p,E175,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75" t="str" cm="1">
        <f t="array" ref="G175">_xlfn.LET(
_xlpm.p,E175,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75" s="75" t="s">
        <v>744</v>
      </c>
      <c r="I175" s="68" t="str" cm="1">
        <f t="array" ref="I175">_xlfn.LET(
_xlpm.p,E175,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75" s="68" t="s">
        <v>758</v>
      </c>
      <c r="K175">
        <v>24</v>
      </c>
      <c r="L175">
        <v>36</v>
      </c>
      <c r="M175">
        <v>12</v>
      </c>
      <c r="N175">
        <f t="shared" si="15"/>
        <v>2</v>
      </c>
      <c r="O175">
        <f t="shared" si="16"/>
        <v>0</v>
      </c>
    </row>
    <row r="176" spans="1:15">
      <c r="A176" t="s">
        <v>712</v>
      </c>
      <c r="B176" s="65">
        <v>312</v>
      </c>
      <c r="C176" s="138">
        <f t="shared" si="14"/>
        <v>93.6</v>
      </c>
      <c r="D176" s="138"/>
      <c r="E176" t="str">
        <f t="shared" si="13"/>
        <v>W2436-Door</v>
      </c>
      <c r="F176" t="str" cm="1">
        <f t="array" ref="F176">_xlfn.LET(
_xlpm.p,E176,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76" t="str" cm="1">
        <f t="array" ref="G176">_xlfn.LET(
_xlpm.p,E176,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76" s="75" t="s">
        <v>746</v>
      </c>
      <c r="I176" s="68" t="str" cm="1">
        <f t="array" ref="I176">_xlfn.LET(
_xlpm.p,E176,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 - Door</v>
      </c>
      <c r="J176" s="68" t="s">
        <v>758</v>
      </c>
      <c r="K176">
        <v>24</v>
      </c>
      <c r="L176">
        <v>36</v>
      </c>
      <c r="M176" s="60" t="s">
        <v>743</v>
      </c>
      <c r="N176">
        <f t="shared" si="15"/>
        <v>2</v>
      </c>
      <c r="O176">
        <f t="shared" si="16"/>
        <v>0</v>
      </c>
    </row>
    <row r="177" spans="1:15">
      <c r="A177" t="s">
        <v>462</v>
      </c>
      <c r="B177" s="65">
        <v>1341</v>
      </c>
      <c r="C177" s="138">
        <f t="shared" si="14"/>
        <v>402.3</v>
      </c>
      <c r="D177" s="138"/>
      <c r="E177" t="str">
        <f t="shared" si="13"/>
        <v>W2448</v>
      </c>
      <c r="F177" t="str" cm="1">
        <f t="array" ref="F177">_xlfn.LET(
_xlpm.p,E177,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77" t="str" cm="1">
        <f t="array" ref="G177">_xlfn.LET(
_xlpm.p,E177,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77" s="75" t="s">
        <v>744</v>
      </c>
      <c r="I177" s="68" t="str" cm="1">
        <f t="array" ref="I177">_xlfn.LET(
_xlpm.p,E177,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77" s="68" t="s">
        <v>758</v>
      </c>
      <c r="K177">
        <v>24</v>
      </c>
      <c r="L177">
        <v>48</v>
      </c>
      <c r="M177">
        <v>12</v>
      </c>
      <c r="N177">
        <f t="shared" si="15"/>
        <v>2</v>
      </c>
      <c r="O177">
        <f t="shared" si="16"/>
        <v>0</v>
      </c>
    </row>
    <row r="178" spans="1:15">
      <c r="A178" t="s">
        <v>463</v>
      </c>
      <c r="B178" s="65">
        <v>687</v>
      </c>
      <c r="C178" s="138">
        <f t="shared" si="14"/>
        <v>206.1</v>
      </c>
      <c r="D178" s="138"/>
      <c r="E178" t="str">
        <f t="shared" si="13"/>
        <v>W2730</v>
      </c>
      <c r="F178" t="str" cm="1">
        <f t="array" ref="F178">_xlfn.LET(
_xlpm.p,E178,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78" t="str" cm="1">
        <f t="array" ref="G178">_xlfn.LET(
_xlpm.p,E178,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78" s="75" t="s">
        <v>744</v>
      </c>
      <c r="I178" s="68" t="str" cm="1">
        <f t="array" ref="I178">_xlfn.LET(
_xlpm.p,E178,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78" s="68" t="s">
        <v>758</v>
      </c>
      <c r="K178">
        <v>27</v>
      </c>
      <c r="L178">
        <v>30</v>
      </c>
      <c r="M178">
        <v>12</v>
      </c>
      <c r="N178">
        <f t="shared" si="15"/>
        <v>2</v>
      </c>
      <c r="O178">
        <f t="shared" si="16"/>
        <v>0</v>
      </c>
    </row>
    <row r="179" spans="1:15">
      <c r="A179" t="s">
        <v>464</v>
      </c>
      <c r="B179" s="65">
        <v>788</v>
      </c>
      <c r="C179" s="138">
        <f t="shared" si="14"/>
        <v>236.39999999999998</v>
      </c>
      <c r="D179" s="138"/>
      <c r="E179" t="str">
        <f t="shared" si="13"/>
        <v>W2736</v>
      </c>
      <c r="F179" t="str" cm="1">
        <f t="array" ref="F179">_xlfn.LET(
_xlpm.p,E179,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79" t="str" cm="1">
        <f t="array" ref="G179">_xlfn.LET(
_xlpm.p,E179,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79" s="75" t="s">
        <v>744</v>
      </c>
      <c r="I179" s="68" t="str" cm="1">
        <f t="array" ref="I179">_xlfn.LET(
_xlpm.p,E179,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79" s="68" t="s">
        <v>758</v>
      </c>
      <c r="K179">
        <v>27</v>
      </c>
      <c r="L179">
        <v>36</v>
      </c>
      <c r="M179">
        <v>12</v>
      </c>
      <c r="N179">
        <f t="shared" si="15"/>
        <v>2</v>
      </c>
      <c r="O179">
        <f t="shared" si="16"/>
        <v>0</v>
      </c>
    </row>
    <row r="180" spans="1:15">
      <c r="A180" t="s">
        <v>713</v>
      </c>
      <c r="B180" s="65">
        <v>352</v>
      </c>
      <c r="C180" s="138">
        <f t="shared" si="14"/>
        <v>105.6</v>
      </c>
      <c r="D180" s="138"/>
      <c r="E180" t="str">
        <f t="shared" si="13"/>
        <v>W2736-Door</v>
      </c>
      <c r="F180" t="str" cm="1">
        <f t="array" ref="F180">_xlfn.LET(
_xlpm.p,E180,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80" t="str" cm="1">
        <f t="array" ref="G180">_xlfn.LET(
_xlpm.p,E180,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80" s="75" t="s">
        <v>746</v>
      </c>
      <c r="I180" s="68" t="str" cm="1">
        <f t="array" ref="I180">_xlfn.LET(
_xlpm.p,E180,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 - Door</v>
      </c>
      <c r="J180" s="68" t="s">
        <v>758</v>
      </c>
      <c r="K180">
        <v>27</v>
      </c>
      <c r="L180">
        <v>36</v>
      </c>
      <c r="M180" s="60" t="s">
        <v>743</v>
      </c>
      <c r="N180">
        <f t="shared" si="15"/>
        <v>2</v>
      </c>
      <c r="O180">
        <f t="shared" si="16"/>
        <v>0</v>
      </c>
    </row>
    <row r="181" spans="1:15">
      <c r="A181" t="s">
        <v>465</v>
      </c>
      <c r="B181" s="65">
        <v>1449</v>
      </c>
      <c r="C181" s="138">
        <f t="shared" si="14"/>
        <v>434.7</v>
      </c>
      <c r="D181" s="138"/>
      <c r="E181" t="str">
        <f t="shared" si="13"/>
        <v>W2748</v>
      </c>
      <c r="F181" t="str" cm="1">
        <f t="array" ref="F181">_xlfn.LET(
_xlpm.p,E181,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81" t="str" cm="1">
        <f t="array" ref="G181">_xlfn.LET(
_xlpm.p,E181,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81" s="75" t="s">
        <v>744</v>
      </c>
      <c r="I181" s="68" t="str" cm="1">
        <f t="array" ref="I181">_xlfn.LET(
_xlpm.p,E181,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81" s="68" t="s">
        <v>758</v>
      </c>
      <c r="K181">
        <v>27</v>
      </c>
      <c r="L181">
        <v>48</v>
      </c>
      <c r="M181">
        <v>12</v>
      </c>
      <c r="N181">
        <f t="shared" si="15"/>
        <v>2</v>
      </c>
      <c r="O181">
        <f t="shared" si="16"/>
        <v>0</v>
      </c>
    </row>
    <row r="182" spans="1:15">
      <c r="A182" t="s">
        <v>466</v>
      </c>
      <c r="B182" s="65">
        <v>352</v>
      </c>
      <c r="C182" s="138">
        <f t="shared" si="14"/>
        <v>105.6</v>
      </c>
      <c r="D182" s="138"/>
      <c r="E182" t="str">
        <f t="shared" si="13"/>
        <v>W3012</v>
      </c>
      <c r="F182" t="str" cm="1">
        <f t="array" ref="F182">_xlfn.LET(
_xlpm.p,E182,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82" t="str" cm="1">
        <f t="array" ref="G182">_xlfn.LET(
_xlpm.p,E182,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82" s="75" t="s">
        <v>744</v>
      </c>
      <c r="I182" s="68" t="str" cm="1">
        <f t="array" ref="I182">_xlfn.LET(
_xlpm.p,E182,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82" s="68" t="s">
        <v>758</v>
      </c>
      <c r="K182">
        <v>30</v>
      </c>
      <c r="L182">
        <v>12</v>
      </c>
      <c r="M182">
        <v>12</v>
      </c>
      <c r="N182">
        <f t="shared" si="15"/>
        <v>2</v>
      </c>
      <c r="O182">
        <f t="shared" si="16"/>
        <v>0</v>
      </c>
    </row>
    <row r="183" spans="1:15">
      <c r="A183" t="s">
        <v>467</v>
      </c>
      <c r="B183" s="65">
        <v>400</v>
      </c>
      <c r="C183" s="138">
        <f t="shared" si="14"/>
        <v>120</v>
      </c>
      <c r="D183" s="138"/>
      <c r="E183" t="str">
        <f t="shared" si="13"/>
        <v>W3015</v>
      </c>
      <c r="F183" t="str" cm="1">
        <f t="array" ref="F183">_xlfn.LET(
_xlpm.p,E183,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83" t="str" cm="1">
        <f t="array" ref="G183">_xlfn.LET(
_xlpm.p,E183,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83" s="75" t="s">
        <v>744</v>
      </c>
      <c r="I183" s="68" t="str" cm="1">
        <f t="array" ref="I183">_xlfn.LET(
_xlpm.p,E183,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83" s="68" t="s">
        <v>758</v>
      </c>
      <c r="K183">
        <v>30</v>
      </c>
      <c r="L183">
        <v>15</v>
      </c>
      <c r="M183">
        <v>12</v>
      </c>
      <c r="N183">
        <f t="shared" si="15"/>
        <v>2</v>
      </c>
      <c r="O183">
        <f t="shared" si="16"/>
        <v>0</v>
      </c>
    </row>
    <row r="184" spans="1:15">
      <c r="A184" t="s">
        <v>468</v>
      </c>
      <c r="B184" s="65">
        <v>459</v>
      </c>
      <c r="C184" s="138">
        <f t="shared" si="14"/>
        <v>137.69999999999999</v>
      </c>
      <c r="D184" s="138"/>
      <c r="E184" t="str">
        <f t="shared" si="13"/>
        <v>W3018</v>
      </c>
      <c r="F184" t="str" cm="1">
        <f t="array" ref="F184">_xlfn.LET(
_xlpm.p,E184,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84" t="str" cm="1">
        <f t="array" ref="G184">_xlfn.LET(
_xlpm.p,E184,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84" s="75" t="s">
        <v>744</v>
      </c>
      <c r="I184" s="68" t="str" cm="1">
        <f t="array" ref="I184">_xlfn.LET(
_xlpm.p,E184,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84" s="68" t="s">
        <v>758</v>
      </c>
      <c r="K184">
        <v>30</v>
      </c>
      <c r="L184">
        <v>18</v>
      </c>
      <c r="M184">
        <v>12</v>
      </c>
      <c r="N184">
        <f t="shared" si="15"/>
        <v>2</v>
      </c>
      <c r="O184">
        <f t="shared" si="16"/>
        <v>0</v>
      </c>
    </row>
    <row r="185" spans="1:15">
      <c r="A185" t="s">
        <v>479</v>
      </c>
      <c r="B185" s="65">
        <v>268</v>
      </c>
      <c r="C185" s="138">
        <f t="shared" si="14"/>
        <v>80.399999999999991</v>
      </c>
      <c r="D185" s="138"/>
      <c r="E185" t="str">
        <f t="shared" si="13"/>
        <v>W3020</v>
      </c>
      <c r="F185" t="str" cm="1">
        <f t="array" ref="F185">_xlfn.LET(
_xlpm.p,E185,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85" t="str" cm="1">
        <f t="array" ref="G185">_xlfn.LET(
_xlpm.p,E185,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85" s="75" t="s">
        <v>744</v>
      </c>
      <c r="I185" s="68" t="str" cm="1">
        <f t="array" ref="I185">_xlfn.LET(
_xlpm.p,E185,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85" s="68" t="s">
        <v>758</v>
      </c>
      <c r="K185">
        <v>30</v>
      </c>
      <c r="L185">
        <v>20</v>
      </c>
      <c r="M185">
        <v>12</v>
      </c>
      <c r="N185">
        <f t="shared" si="15"/>
        <v>2</v>
      </c>
      <c r="O185">
        <f t="shared" si="16"/>
        <v>0</v>
      </c>
    </row>
    <row r="186" spans="1:15">
      <c r="A186" t="s">
        <v>469</v>
      </c>
      <c r="B186" s="65">
        <v>577</v>
      </c>
      <c r="C186" s="138">
        <f t="shared" si="14"/>
        <v>173.1</v>
      </c>
      <c r="D186" s="138"/>
      <c r="E186" t="str">
        <f t="shared" si="13"/>
        <v>W3021</v>
      </c>
      <c r="F186" t="str" cm="1">
        <f t="array" ref="F186">_xlfn.LET(
_xlpm.p,E186,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86" t="str" cm="1">
        <f t="array" ref="G186">_xlfn.LET(
_xlpm.p,E186,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86" s="75" t="s">
        <v>744</v>
      </c>
      <c r="I186" s="68" t="str" cm="1">
        <f t="array" ref="I186">_xlfn.LET(
_xlpm.p,E186,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86" s="68" t="s">
        <v>758</v>
      </c>
      <c r="K186">
        <v>30</v>
      </c>
      <c r="L186">
        <v>21</v>
      </c>
      <c r="M186">
        <v>12</v>
      </c>
      <c r="N186">
        <f t="shared" si="15"/>
        <v>2</v>
      </c>
      <c r="O186">
        <f t="shared" si="16"/>
        <v>0</v>
      </c>
    </row>
    <row r="187" spans="1:15">
      <c r="A187" t="s">
        <v>470</v>
      </c>
      <c r="B187" s="65">
        <v>625</v>
      </c>
      <c r="C187" s="138">
        <f t="shared" si="14"/>
        <v>187.5</v>
      </c>
      <c r="D187" s="138"/>
      <c r="E187" t="str">
        <f t="shared" si="13"/>
        <v>W3024</v>
      </c>
      <c r="F187" t="str" cm="1">
        <f t="array" ref="F187">_xlfn.LET(
_xlpm.p,E187,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87" t="str" cm="1">
        <f t="array" ref="G187">_xlfn.LET(
_xlpm.p,E187,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87" s="75" t="s">
        <v>744</v>
      </c>
      <c r="I187" s="68" t="str" cm="1">
        <f t="array" ref="I187">_xlfn.LET(
_xlpm.p,E187,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87" s="68" t="s">
        <v>758</v>
      </c>
      <c r="K187">
        <v>30</v>
      </c>
      <c r="L187">
        <v>24</v>
      </c>
      <c r="M187">
        <v>12</v>
      </c>
      <c r="N187">
        <f t="shared" si="15"/>
        <v>2</v>
      </c>
      <c r="O187">
        <f t="shared" si="16"/>
        <v>0</v>
      </c>
    </row>
    <row r="188" spans="1:15">
      <c r="A188" t="s">
        <v>471</v>
      </c>
      <c r="B188" s="65">
        <v>676</v>
      </c>
      <c r="C188" s="138">
        <f t="shared" si="14"/>
        <v>202.79999999999998</v>
      </c>
      <c r="D188" s="138"/>
      <c r="E188" t="str">
        <f t="shared" si="13"/>
        <v>W3027</v>
      </c>
      <c r="F188" t="str" cm="1">
        <f t="array" ref="F188">_xlfn.LET(
_xlpm.p,E188,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88" t="str" cm="1">
        <f t="array" ref="G188">_xlfn.LET(
_xlpm.p,E188,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88" s="75" t="s">
        <v>744</v>
      </c>
      <c r="I188" s="68" t="str" cm="1">
        <f t="array" ref="I188">_xlfn.LET(
_xlpm.p,E188,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88" s="68" t="s">
        <v>758</v>
      </c>
      <c r="K188">
        <v>30</v>
      </c>
      <c r="L188">
        <v>27</v>
      </c>
      <c r="M188">
        <v>12</v>
      </c>
      <c r="N188">
        <f t="shared" si="15"/>
        <v>2</v>
      </c>
      <c r="O188">
        <f t="shared" si="16"/>
        <v>0</v>
      </c>
    </row>
    <row r="189" spans="1:15">
      <c r="A189" t="s">
        <v>472</v>
      </c>
      <c r="B189" s="65">
        <v>727</v>
      </c>
      <c r="C189" s="138">
        <f t="shared" si="14"/>
        <v>218.1</v>
      </c>
      <c r="D189" s="138"/>
      <c r="E189" t="str">
        <f t="shared" si="13"/>
        <v>W3030</v>
      </c>
      <c r="F189" t="str" cm="1">
        <f t="array" ref="F189">_xlfn.LET(
_xlpm.p,E189,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89" t="str" cm="1">
        <f t="array" ref="G189">_xlfn.LET(
_xlpm.p,E189,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89" s="75" t="s">
        <v>744</v>
      </c>
      <c r="I189" s="68" t="str" cm="1">
        <f t="array" ref="I189">_xlfn.LET(
_xlpm.p,E189,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89" s="68" t="s">
        <v>758</v>
      </c>
      <c r="K189">
        <v>30</v>
      </c>
      <c r="L189">
        <v>30</v>
      </c>
      <c r="M189">
        <v>12</v>
      </c>
      <c r="N189">
        <f t="shared" si="15"/>
        <v>2</v>
      </c>
      <c r="O189">
        <f t="shared" si="16"/>
        <v>0</v>
      </c>
    </row>
    <row r="190" spans="1:15">
      <c r="A190" t="s">
        <v>473</v>
      </c>
      <c r="B190" s="65">
        <v>851</v>
      </c>
      <c r="C190" s="138">
        <f t="shared" si="14"/>
        <v>255.29999999999998</v>
      </c>
      <c r="D190" s="138"/>
      <c r="E190" t="str">
        <f t="shared" si="13"/>
        <v>W3036</v>
      </c>
      <c r="F190" t="str" cm="1">
        <f t="array" ref="F190">_xlfn.LET(
_xlpm.p,E190,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90" t="str" cm="1">
        <f t="array" ref="G190">_xlfn.LET(
_xlpm.p,E190,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90" s="75" t="s">
        <v>744</v>
      </c>
      <c r="I190" s="68" t="str" cm="1">
        <f t="array" ref="I190">_xlfn.LET(
_xlpm.p,E190,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90" s="68" t="s">
        <v>758</v>
      </c>
      <c r="K190">
        <v>30</v>
      </c>
      <c r="L190">
        <v>36</v>
      </c>
      <c r="M190">
        <v>12</v>
      </c>
      <c r="N190">
        <f t="shared" si="15"/>
        <v>2</v>
      </c>
      <c r="O190">
        <f t="shared" si="16"/>
        <v>0</v>
      </c>
    </row>
    <row r="191" spans="1:15">
      <c r="A191" t="s">
        <v>714</v>
      </c>
      <c r="B191" s="65">
        <v>391</v>
      </c>
      <c r="C191" s="138">
        <f t="shared" si="14"/>
        <v>117.3</v>
      </c>
      <c r="D191" s="138"/>
      <c r="E191" t="str">
        <f t="shared" si="13"/>
        <v>W3036-Door</v>
      </c>
      <c r="F191" t="str" cm="1">
        <f t="array" ref="F191">_xlfn.LET(
_xlpm.p,E191,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91" t="str" cm="1">
        <f t="array" ref="G191">_xlfn.LET(
_xlpm.p,E191,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91" s="75" t="s">
        <v>746</v>
      </c>
      <c r="I191" s="68" t="str" cm="1">
        <f t="array" ref="I191">_xlfn.LET(
_xlpm.p,E191,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 - Door</v>
      </c>
      <c r="J191" s="68" t="s">
        <v>758</v>
      </c>
      <c r="K191">
        <v>30</v>
      </c>
      <c r="L191">
        <v>36</v>
      </c>
      <c r="M191" s="60" t="s">
        <v>743</v>
      </c>
      <c r="N191">
        <f t="shared" si="15"/>
        <v>2</v>
      </c>
      <c r="O191">
        <f t="shared" si="16"/>
        <v>0</v>
      </c>
    </row>
    <row r="192" spans="1:15">
      <c r="A192" t="s">
        <v>474</v>
      </c>
      <c r="B192" s="65">
        <v>979</v>
      </c>
      <c r="C192" s="138">
        <f t="shared" si="14"/>
        <v>293.7</v>
      </c>
      <c r="D192" s="138"/>
      <c r="E192" t="str">
        <f t="shared" si="13"/>
        <v>W3042</v>
      </c>
      <c r="F192" t="str" cm="1">
        <f t="array" ref="F192">_xlfn.LET(
_xlpm.p,E192,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92" t="str" cm="1">
        <f t="array" ref="G192">_xlfn.LET(
_xlpm.p,E192,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92" s="75" t="s">
        <v>744</v>
      </c>
      <c r="I192" s="68" t="str" cm="1">
        <f t="array" ref="I192">_xlfn.LET(
_xlpm.p,E192,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92" s="68" t="s">
        <v>758</v>
      </c>
      <c r="K192">
        <v>30</v>
      </c>
      <c r="L192">
        <v>42</v>
      </c>
      <c r="M192">
        <v>12</v>
      </c>
      <c r="N192">
        <f t="shared" si="15"/>
        <v>2</v>
      </c>
      <c r="O192">
        <f t="shared" si="16"/>
        <v>0</v>
      </c>
    </row>
    <row r="193" spans="1:15">
      <c r="A193" t="s">
        <v>475</v>
      </c>
      <c r="B193" s="65">
        <v>1549</v>
      </c>
      <c r="C193" s="138">
        <f t="shared" si="14"/>
        <v>464.7</v>
      </c>
      <c r="D193" s="138"/>
      <c r="E193" t="str">
        <f t="shared" si="13"/>
        <v>W3048</v>
      </c>
      <c r="F193" t="str" cm="1">
        <f t="array" ref="F193">_xlfn.LET(
_xlpm.p,E193,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93" t="str" cm="1">
        <f t="array" ref="G193">_xlfn.LET(
_xlpm.p,E193,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93" s="75" t="s">
        <v>744</v>
      </c>
      <c r="I193" s="68" t="str" cm="1">
        <f t="array" ref="I193">_xlfn.LET(
_xlpm.p,E193,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93" s="68" t="s">
        <v>758</v>
      </c>
      <c r="K193">
        <v>30</v>
      </c>
      <c r="L193">
        <v>48</v>
      </c>
      <c r="M193">
        <v>12</v>
      </c>
      <c r="N193">
        <f t="shared" si="15"/>
        <v>2</v>
      </c>
      <c r="O193">
        <f t="shared" si="16"/>
        <v>0</v>
      </c>
    </row>
    <row r="194" spans="1:15">
      <c r="A194" t="s">
        <v>483</v>
      </c>
      <c r="B194" s="65">
        <v>1377</v>
      </c>
      <c r="C194" s="138">
        <f t="shared" si="14"/>
        <v>413.09999999999997</v>
      </c>
      <c r="D194" s="138"/>
      <c r="E194" t="str">
        <f t="shared" ref="E194:E243" si="17">_xlfn.TEXTAFTER(A194,"-")</f>
        <v>W3067.518</v>
      </c>
      <c r="F194" t="str" cm="1">
        <f t="array" ref="F194">_xlfn.LET(
_xlpm.p,E194,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94" t="str" cm="1">
        <f t="array" ref="G194">_xlfn.LET(
_xlpm.p,E194,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194" s="68" t="str" cm="1">
        <f t="array" ref="I194">_xlfn.LET(
_xlpm.p,E194,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94" s="82"/>
      <c r="N194">
        <f t="shared" si="15"/>
        <v>1</v>
      </c>
      <c r="O194">
        <f t="shared" si="16"/>
        <v>0</v>
      </c>
    </row>
    <row r="195" spans="1:15">
      <c r="A195" t="s">
        <v>476</v>
      </c>
      <c r="B195" s="65">
        <v>501</v>
      </c>
      <c r="C195" s="138">
        <f t="shared" ref="C195:C243" si="18">B195*0.3</f>
        <v>150.29999999999998</v>
      </c>
      <c r="D195" s="138"/>
      <c r="E195" t="str">
        <f t="shared" si="17"/>
        <v>W30X19.5</v>
      </c>
      <c r="F195" t="str" cm="1">
        <f t="array" ref="F195">_xlfn.LET(
_xlpm.p,E195,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95" t="str" cm="1">
        <f t="array" ref="G195">_xlfn.LET(
_xlpm.p,E195,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195" s="68" t="str" cm="1">
        <f t="array" ref="I195">_xlfn.LET(
_xlpm.p,E195,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95" s="82"/>
      <c r="N195">
        <f t="shared" ref="N195:N243" si="19">IF(ISNUMBER(SEARCH("Cabinet",F195))=FALSE,"N/A",IF(K195&gt;=24,2,1))</f>
        <v>1</v>
      </c>
      <c r="O195">
        <f t="shared" ref="O195:O243" si="20">IF(ISNUMBER(SEARCH("Cabinet",F195))=FALSE,"N/A",
    IF(ISNUMBER(SEARCH("DB",E195)),
        IF(ISNUMBER(SEARCH("-2",E195)),2,3),
        IF(ISNUMBER(SEARCH("-PO",E195)),1,
            IF(LEFT(E195,1)="B",1,0)
        )
    )
)</f>
        <v>0</v>
      </c>
    </row>
    <row r="196" spans="1:15">
      <c r="A196" t="s">
        <v>490</v>
      </c>
      <c r="B196" s="65">
        <v>514</v>
      </c>
      <c r="C196" s="138">
        <f t="shared" si="18"/>
        <v>154.19999999999999</v>
      </c>
      <c r="D196" s="138"/>
      <c r="E196" t="str">
        <f t="shared" si="17"/>
        <v>W33.51227</v>
      </c>
      <c r="F196" t="str" cm="1">
        <f t="array" ref="F196">_xlfn.LET(
_xlpm.p,E196,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96" t="str" cm="1">
        <f t="array" ref="G196">_xlfn.LET(
_xlpm.p,E196,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196" s="68" t="str" cm="1">
        <f t="array" ref="I196">_xlfn.LET(
_xlpm.p,E196,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96" s="82"/>
      <c r="N196">
        <f t="shared" si="19"/>
        <v>1</v>
      </c>
      <c r="O196">
        <f t="shared" si="20"/>
        <v>0</v>
      </c>
    </row>
    <row r="197" spans="1:15">
      <c r="A197" t="s">
        <v>497</v>
      </c>
      <c r="B197" s="65">
        <v>689</v>
      </c>
      <c r="C197" s="138">
        <f t="shared" si="18"/>
        <v>206.7</v>
      </c>
      <c r="D197" s="138"/>
      <c r="E197" t="str">
        <f t="shared" si="17"/>
        <v>W33.51827</v>
      </c>
      <c r="F197" t="str" cm="1">
        <f t="array" ref="F197">_xlfn.LET(
_xlpm.p,E197,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97" t="str" cm="1">
        <f t="array" ref="G197">_xlfn.LET(
_xlpm.p,E197,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197" s="68" t="str" cm="1">
        <f t="array" ref="I197">_xlfn.LET(
_xlpm.p,E197,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97" s="82"/>
      <c r="N197">
        <v>1</v>
      </c>
      <c r="O197">
        <f t="shared" si="20"/>
        <v>0</v>
      </c>
    </row>
    <row r="198" spans="1:15">
      <c r="A198" t="s">
        <v>492</v>
      </c>
      <c r="B198" s="65">
        <v>712</v>
      </c>
      <c r="C198" s="138">
        <f t="shared" si="18"/>
        <v>213.6</v>
      </c>
      <c r="D198" s="138"/>
      <c r="E198" t="str">
        <f t="shared" si="17"/>
        <v>W33.52027</v>
      </c>
      <c r="F198" t="str" cm="1">
        <f t="array" ref="F198">_xlfn.LET(
_xlpm.p,E198,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98" t="str" cm="1">
        <f t="array" ref="G198">_xlfn.LET(
_xlpm.p,E198,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198" s="68" t="str" cm="1">
        <f t="array" ref="I198">_xlfn.LET(
_xlpm.p,E198,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98" s="82"/>
      <c r="N198">
        <v>1</v>
      </c>
      <c r="O198">
        <f t="shared" si="20"/>
        <v>0</v>
      </c>
    </row>
    <row r="199" spans="1:15">
      <c r="A199" t="s">
        <v>509</v>
      </c>
      <c r="B199" s="65">
        <v>564</v>
      </c>
      <c r="C199" s="138">
        <f t="shared" si="18"/>
        <v>169.2</v>
      </c>
      <c r="D199" s="138"/>
      <c r="E199" t="str">
        <f t="shared" si="17"/>
        <v>W33.52027-Frameless</v>
      </c>
      <c r="F199" t="str" cm="1">
        <f t="array" ref="F199">_xlfn.LET(
_xlpm.p,E199,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99" t="str" cm="1">
        <f t="array" ref="G199">_xlfn.LET(
_xlpm.p,E199,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199" s="68" t="str" cm="1">
        <f t="array" ref="I199">_xlfn.LET(
_xlpm.p,E199,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99" s="82"/>
      <c r="N199" s="60" t="s">
        <v>743</v>
      </c>
      <c r="O199" s="60" t="s">
        <v>743</v>
      </c>
    </row>
    <row r="200" spans="1:15">
      <c r="A200" t="s">
        <v>484</v>
      </c>
      <c r="B200" s="65">
        <v>666</v>
      </c>
      <c r="C200" s="138">
        <f t="shared" si="18"/>
        <v>199.79999999999998</v>
      </c>
      <c r="D200" s="138"/>
      <c r="E200" t="str">
        <f t="shared" si="17"/>
        <v>W33.521</v>
      </c>
      <c r="F200" t="str" cm="1">
        <f t="array" ref="F200">_xlfn.LET(
_xlpm.p,E200,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00" t="str" cm="1">
        <f t="array" ref="G200">_xlfn.LET(
_xlpm.p,E200,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200" s="68" t="str" cm="1">
        <f t="array" ref="I200">_xlfn.LET(
_xlpm.p,E200,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00" s="82"/>
      <c r="N200">
        <v>1</v>
      </c>
      <c r="O200">
        <f t="shared" si="20"/>
        <v>0</v>
      </c>
    </row>
    <row r="201" spans="1:15">
      <c r="A201" t="s">
        <v>494</v>
      </c>
      <c r="B201" s="65">
        <v>935</v>
      </c>
      <c r="C201" s="138">
        <f t="shared" si="18"/>
        <v>280.5</v>
      </c>
      <c r="D201" s="138"/>
      <c r="E201" t="str">
        <f t="shared" si="17"/>
        <v>W33.5X30X27</v>
      </c>
      <c r="F201" t="str" cm="1">
        <f t="array" ref="F201">_xlfn.LET(
_xlpm.p,E201,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01" t="str" cm="1">
        <f t="array" ref="G201">_xlfn.LET(
_xlpm.p,E201,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201" s="68" t="str" cm="1">
        <f t="array" ref="I201">_xlfn.LET(
_xlpm.p,E201,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01" s="82"/>
      <c r="N201">
        <f t="shared" si="19"/>
        <v>1</v>
      </c>
      <c r="O201">
        <f t="shared" si="20"/>
        <v>0</v>
      </c>
    </row>
    <row r="202" spans="1:15">
      <c r="A202" t="s">
        <v>485</v>
      </c>
      <c r="B202" s="65">
        <v>379</v>
      </c>
      <c r="C202" s="138">
        <f t="shared" si="18"/>
        <v>113.7</v>
      </c>
      <c r="D202" s="138"/>
      <c r="E202" t="str">
        <f t="shared" si="17"/>
        <v>W3312</v>
      </c>
      <c r="F202" t="str" cm="1">
        <f t="array" ref="F202">_xlfn.LET(
_xlpm.p,E202,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02" t="str" cm="1">
        <f t="array" ref="G202">_xlfn.LET(
_xlpm.p,E202,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202" s="75" t="s">
        <v>744</v>
      </c>
      <c r="I202" s="68" t="str" cm="1">
        <f t="array" ref="I202">_xlfn.LET(
_xlpm.p,E202,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02" s="68" t="s">
        <v>758</v>
      </c>
      <c r="K202">
        <v>33</v>
      </c>
      <c r="L202">
        <v>12</v>
      </c>
      <c r="M202">
        <v>12</v>
      </c>
      <c r="N202">
        <f t="shared" si="19"/>
        <v>2</v>
      </c>
      <c r="O202">
        <f t="shared" si="20"/>
        <v>0</v>
      </c>
    </row>
    <row r="203" spans="1:15">
      <c r="A203" t="s">
        <v>486</v>
      </c>
      <c r="B203" s="65">
        <v>521</v>
      </c>
      <c r="C203" s="138">
        <f t="shared" si="18"/>
        <v>156.29999999999998</v>
      </c>
      <c r="D203" s="138"/>
      <c r="E203" t="str">
        <f t="shared" si="17"/>
        <v>W3318</v>
      </c>
      <c r="F203" t="str" cm="1">
        <f t="array" ref="F203">_xlfn.LET(
_xlpm.p,E203,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03" t="str" cm="1">
        <f t="array" ref="G203">_xlfn.LET(
_xlpm.p,E203,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203" s="75" t="s">
        <v>744</v>
      </c>
      <c r="I203" s="68" t="str" cm="1">
        <f t="array" ref="I203">_xlfn.LET(
_xlpm.p,E203,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03" s="68" t="s">
        <v>758</v>
      </c>
      <c r="K203">
        <v>33</v>
      </c>
      <c r="L203">
        <v>18</v>
      </c>
      <c r="M203">
        <v>12</v>
      </c>
      <c r="N203">
        <f t="shared" si="19"/>
        <v>2</v>
      </c>
      <c r="O203">
        <f t="shared" si="20"/>
        <v>0</v>
      </c>
    </row>
    <row r="204" spans="1:15">
      <c r="A204" t="s">
        <v>480</v>
      </c>
      <c r="B204" s="65">
        <v>293</v>
      </c>
      <c r="C204" s="138">
        <f t="shared" si="18"/>
        <v>87.899999999999991</v>
      </c>
      <c r="D204" s="138"/>
      <c r="E204" t="str">
        <f t="shared" si="17"/>
        <v>W3320</v>
      </c>
      <c r="F204" t="str" cm="1">
        <f t="array" ref="F204">_xlfn.LET(
_xlpm.p,E204,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04" t="str" cm="1">
        <f t="array" ref="G204">_xlfn.LET(
_xlpm.p,E204,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204" s="75" t="s">
        <v>744</v>
      </c>
      <c r="I204" s="68" t="str" cm="1">
        <f t="array" ref="I204">_xlfn.LET(
_xlpm.p,E204,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04" s="68" t="s">
        <v>758</v>
      </c>
      <c r="K204">
        <v>33</v>
      </c>
      <c r="L204">
        <v>20</v>
      </c>
      <c r="M204">
        <v>12</v>
      </c>
      <c r="N204">
        <f t="shared" si="19"/>
        <v>2</v>
      </c>
      <c r="O204">
        <f t="shared" si="20"/>
        <v>0</v>
      </c>
    </row>
    <row r="205" spans="1:15">
      <c r="A205" t="s">
        <v>487</v>
      </c>
      <c r="B205" s="65">
        <v>794</v>
      </c>
      <c r="C205" s="138">
        <f t="shared" si="18"/>
        <v>238.2</v>
      </c>
      <c r="D205" s="138"/>
      <c r="E205" t="str">
        <f t="shared" si="17"/>
        <v>W3330</v>
      </c>
      <c r="F205" t="str" cm="1">
        <f t="array" ref="F205">_xlfn.LET(
_xlpm.p,E205,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05" t="str" cm="1">
        <f t="array" ref="G205">_xlfn.LET(
_xlpm.p,E205,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205" s="75" t="s">
        <v>744</v>
      </c>
      <c r="I205" s="68" t="str" cm="1">
        <f t="array" ref="I205">_xlfn.LET(
_xlpm.p,E205,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05" s="68" t="s">
        <v>758</v>
      </c>
      <c r="K205">
        <v>33</v>
      </c>
      <c r="L205">
        <v>30</v>
      </c>
      <c r="M205">
        <v>12</v>
      </c>
      <c r="N205">
        <f t="shared" si="19"/>
        <v>2</v>
      </c>
      <c r="O205">
        <f t="shared" si="20"/>
        <v>0</v>
      </c>
    </row>
    <row r="206" spans="1:15">
      <c r="A206" t="s">
        <v>488</v>
      </c>
      <c r="B206" s="65">
        <v>914</v>
      </c>
      <c r="C206" s="138">
        <f t="shared" si="18"/>
        <v>274.2</v>
      </c>
      <c r="D206" s="138"/>
      <c r="E206" t="str">
        <f t="shared" si="17"/>
        <v>W3336</v>
      </c>
      <c r="F206" t="str" cm="1">
        <f t="array" ref="F206">_xlfn.LET(
_xlpm.p,E206,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06" t="str" cm="1">
        <f t="array" ref="G206">_xlfn.LET(
_xlpm.p,E206,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206" s="75" t="s">
        <v>744</v>
      </c>
      <c r="I206" s="68" t="str" cm="1">
        <f t="array" ref="I206">_xlfn.LET(
_xlpm.p,E206,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06" s="68" t="s">
        <v>758</v>
      </c>
      <c r="K206">
        <v>33</v>
      </c>
      <c r="L206">
        <v>36</v>
      </c>
      <c r="M206">
        <v>12</v>
      </c>
      <c r="N206">
        <f t="shared" si="19"/>
        <v>2</v>
      </c>
      <c r="O206">
        <f t="shared" si="20"/>
        <v>0</v>
      </c>
    </row>
    <row r="207" spans="1:15">
      <c r="A207" t="s">
        <v>715</v>
      </c>
      <c r="B207" s="65">
        <v>430</v>
      </c>
      <c r="C207" s="138">
        <f t="shared" si="18"/>
        <v>129</v>
      </c>
      <c r="D207" s="138"/>
      <c r="E207" t="str">
        <f t="shared" si="17"/>
        <v>W3336-Door</v>
      </c>
      <c r="F207" t="str" cm="1">
        <f t="array" ref="F207">_xlfn.LET(
_xlpm.p,E207,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07" t="str" cm="1">
        <f t="array" ref="G207">_xlfn.LET(
_xlpm.p,E207,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207" s="75" t="s">
        <v>746</v>
      </c>
      <c r="I207" s="68" t="str" cm="1">
        <f t="array" ref="I207">_xlfn.LET(
_xlpm.p,E207,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 - Door</v>
      </c>
      <c r="J207" s="68" t="s">
        <v>758</v>
      </c>
      <c r="K207">
        <v>33</v>
      </c>
      <c r="L207">
        <v>36</v>
      </c>
      <c r="M207" s="60" t="s">
        <v>743</v>
      </c>
      <c r="N207">
        <f t="shared" si="19"/>
        <v>2</v>
      </c>
      <c r="O207">
        <f t="shared" si="20"/>
        <v>0</v>
      </c>
    </row>
    <row r="208" spans="1:15">
      <c r="A208" t="s">
        <v>489</v>
      </c>
      <c r="B208" s="65">
        <v>1685</v>
      </c>
      <c r="C208" s="138">
        <f t="shared" si="18"/>
        <v>505.5</v>
      </c>
      <c r="D208" s="138"/>
      <c r="E208" t="str">
        <f t="shared" si="17"/>
        <v>W3348</v>
      </c>
      <c r="F208" t="str" cm="1">
        <f t="array" ref="F208">_xlfn.LET(
_xlpm.p,E208,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08" t="str" cm="1">
        <f t="array" ref="G208">_xlfn.LET(
_xlpm.p,E208,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208" s="75" t="s">
        <v>744</v>
      </c>
      <c r="I208" s="68" t="str" cm="1">
        <f t="array" ref="I208">_xlfn.LET(
_xlpm.p,E208,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08" s="68" t="s">
        <v>758</v>
      </c>
      <c r="K208">
        <v>33</v>
      </c>
      <c r="L208">
        <v>48</v>
      </c>
      <c r="M208">
        <v>12</v>
      </c>
      <c r="N208">
        <f t="shared" si="19"/>
        <v>2</v>
      </c>
      <c r="O208">
        <f t="shared" si="20"/>
        <v>0</v>
      </c>
    </row>
    <row r="209" spans="1:15">
      <c r="A209" t="s">
        <v>477</v>
      </c>
      <c r="B209" s="65">
        <v>548</v>
      </c>
      <c r="C209" s="138">
        <f t="shared" si="18"/>
        <v>164.4</v>
      </c>
      <c r="D209" s="138"/>
      <c r="E209" t="str">
        <f t="shared" si="17"/>
        <v>W33X19.5</v>
      </c>
      <c r="F209" t="str" cm="1">
        <f t="array" ref="F209">_xlfn.LET(
_xlpm.p,E209,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09" t="str" cm="1">
        <f t="array" ref="G209">_xlfn.LET(
_xlpm.p,E209,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209" s="68" t="str" cm="1">
        <f t="array" ref="I209">_xlfn.LET(
_xlpm.p,E209,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09" s="82"/>
      <c r="N209">
        <f t="shared" si="19"/>
        <v>1</v>
      </c>
      <c r="O209">
        <f t="shared" si="20"/>
        <v>0</v>
      </c>
    </row>
    <row r="210" spans="1:15">
      <c r="A210" t="s">
        <v>491</v>
      </c>
      <c r="B210" s="65">
        <v>601</v>
      </c>
      <c r="C210" s="138">
        <f t="shared" si="18"/>
        <v>180.29999999999998</v>
      </c>
      <c r="D210" s="138"/>
      <c r="E210" t="str">
        <f t="shared" si="17"/>
        <v>W36.51227</v>
      </c>
      <c r="F210" t="str" cm="1">
        <f t="array" ref="F210">_xlfn.LET(
_xlpm.p,E210,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10" t="str" cm="1">
        <f t="array" ref="G210">_xlfn.LET(
_xlpm.p,E210,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210" s="68" t="str" cm="1">
        <f t="array" ref="I210">_xlfn.LET(
_xlpm.p,E210,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10" s="82"/>
      <c r="N210">
        <f t="shared" si="19"/>
        <v>1</v>
      </c>
      <c r="O210">
        <f t="shared" si="20"/>
        <v>0</v>
      </c>
    </row>
    <row r="211" spans="1:15">
      <c r="A211" t="s">
        <v>498</v>
      </c>
      <c r="B211" s="65">
        <v>709</v>
      </c>
      <c r="C211" s="138">
        <f t="shared" si="18"/>
        <v>212.7</v>
      </c>
      <c r="D211" s="138"/>
      <c r="E211" t="str">
        <f t="shared" si="17"/>
        <v>W36.51827</v>
      </c>
      <c r="F211" t="str" cm="1">
        <f t="array" ref="F211">_xlfn.LET(
_xlpm.p,E211,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11" t="str" cm="1">
        <f t="array" ref="G211">_xlfn.LET(
_xlpm.p,E211,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211" s="68" t="str" cm="1">
        <f t="array" ref="I211">_xlfn.LET(
_xlpm.p,E211,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11" s="82"/>
      <c r="N211">
        <f t="shared" si="19"/>
        <v>1</v>
      </c>
      <c r="O211">
        <f t="shared" si="20"/>
        <v>0</v>
      </c>
    </row>
    <row r="212" spans="1:15">
      <c r="A212" t="s">
        <v>510</v>
      </c>
      <c r="B212" s="65">
        <v>602</v>
      </c>
      <c r="C212" s="138">
        <f t="shared" si="18"/>
        <v>180.6</v>
      </c>
      <c r="D212" s="138"/>
      <c r="E212" t="str">
        <f t="shared" si="17"/>
        <v>W36.52027-Frameless</v>
      </c>
      <c r="F212" t="str" cm="1">
        <f t="array" ref="F212">_xlfn.LET(
_xlpm.p,E212,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12" t="str" cm="1">
        <f t="array" ref="G212">_xlfn.LET(
_xlpm.p,E212,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212" s="68" t="str" cm="1">
        <f t="array" ref="I212">_xlfn.LET(
_xlpm.p,E212,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12" s="82"/>
      <c r="N212">
        <f t="shared" si="19"/>
        <v>1</v>
      </c>
      <c r="O212">
        <f t="shared" si="20"/>
        <v>0</v>
      </c>
    </row>
    <row r="213" spans="1:15">
      <c r="A213" t="s">
        <v>493</v>
      </c>
      <c r="B213" s="65">
        <v>735</v>
      </c>
      <c r="C213" s="138">
        <f t="shared" si="18"/>
        <v>220.5</v>
      </c>
      <c r="D213" s="138"/>
      <c r="E213" t="str">
        <f t="shared" si="17"/>
        <v>W36.5X20X27</v>
      </c>
      <c r="F213" t="str" cm="1">
        <f t="array" ref="F213">_xlfn.LET(
_xlpm.p,E213,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13" t="str" cm="1">
        <f t="array" ref="G213">_xlfn.LET(
_xlpm.p,E213,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213" s="68" t="str" cm="1">
        <f t="array" ref="I213">_xlfn.LET(
_xlpm.p,E213,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13" s="82"/>
      <c r="N213">
        <f t="shared" si="19"/>
        <v>1</v>
      </c>
      <c r="O213">
        <f t="shared" si="20"/>
        <v>0</v>
      </c>
    </row>
    <row r="214" spans="1:15">
      <c r="A214" t="s">
        <v>495</v>
      </c>
      <c r="B214" s="65">
        <v>997</v>
      </c>
      <c r="C214" s="138">
        <f t="shared" si="18"/>
        <v>299.09999999999997</v>
      </c>
      <c r="D214" s="138"/>
      <c r="E214" t="str">
        <f t="shared" si="17"/>
        <v>W36.5X30X27</v>
      </c>
      <c r="F214" t="str" cm="1">
        <f t="array" ref="F214">_xlfn.LET(
_xlpm.p,E214,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14" t="str" cm="1">
        <f t="array" ref="G214">_xlfn.LET(
_xlpm.p,E214,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214" s="68" t="str" cm="1">
        <f t="array" ref="I214">_xlfn.LET(
_xlpm.p,E214,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14" s="82"/>
      <c r="N214">
        <f t="shared" si="19"/>
        <v>1</v>
      </c>
      <c r="O214">
        <f t="shared" si="20"/>
        <v>0</v>
      </c>
    </row>
    <row r="215" spans="1:15">
      <c r="A215" t="s">
        <v>496</v>
      </c>
      <c r="B215" s="65">
        <v>1091</v>
      </c>
      <c r="C215" s="138">
        <f t="shared" si="18"/>
        <v>327.3</v>
      </c>
      <c r="D215" s="138"/>
      <c r="E215" t="str">
        <f t="shared" si="17"/>
        <v>W36.5X31.5X27</v>
      </c>
      <c r="F215" t="str" cm="1">
        <f t="array" ref="F215">_xlfn.LET(
_xlpm.p,E215,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15" t="str" cm="1">
        <f t="array" ref="G215">_xlfn.LET(
_xlpm.p,E215,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215" s="68" t="str" cm="1">
        <f t="array" ref="I215">_xlfn.LET(
_xlpm.p,E215,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15" s="82"/>
      <c r="N215">
        <f t="shared" si="19"/>
        <v>1</v>
      </c>
      <c r="O215">
        <f t="shared" si="20"/>
        <v>0</v>
      </c>
    </row>
    <row r="216" spans="1:15">
      <c r="A216" t="s">
        <v>499</v>
      </c>
      <c r="B216" s="65">
        <v>502</v>
      </c>
      <c r="C216" s="138">
        <f t="shared" si="18"/>
        <v>150.6</v>
      </c>
      <c r="D216" s="138"/>
      <c r="E216" t="str">
        <f t="shared" si="17"/>
        <v>W3612</v>
      </c>
      <c r="F216" t="str" cm="1">
        <f t="array" ref="F216">_xlfn.LET(
_xlpm.p,E216,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16" t="str" cm="1">
        <f t="array" ref="G216">_xlfn.LET(
_xlpm.p,E216,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216" s="75" t="s">
        <v>744</v>
      </c>
      <c r="I216" s="68" t="str" cm="1">
        <f t="array" ref="I216">_xlfn.LET(
_xlpm.p,E216,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16" s="68" t="s">
        <v>758</v>
      </c>
      <c r="K216">
        <v>36</v>
      </c>
      <c r="L216">
        <v>12</v>
      </c>
      <c r="M216">
        <v>12</v>
      </c>
      <c r="N216">
        <f t="shared" si="19"/>
        <v>2</v>
      </c>
      <c r="O216">
        <f t="shared" si="20"/>
        <v>0</v>
      </c>
    </row>
    <row r="217" spans="1:15">
      <c r="A217" t="s">
        <v>500</v>
      </c>
      <c r="B217" s="65">
        <v>560</v>
      </c>
      <c r="C217" s="138">
        <f t="shared" si="18"/>
        <v>168</v>
      </c>
      <c r="D217" s="138"/>
      <c r="E217" t="str">
        <f t="shared" si="17"/>
        <v>W3618</v>
      </c>
      <c r="F217" t="str" cm="1">
        <f t="array" ref="F217">_xlfn.LET(
_xlpm.p,E217,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17" t="str" cm="1">
        <f t="array" ref="G217">_xlfn.LET(
_xlpm.p,E217,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217" s="75" t="s">
        <v>744</v>
      </c>
      <c r="I217" s="68" t="str" cm="1">
        <f t="array" ref="I217">_xlfn.LET(
_xlpm.p,E217,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17" s="68" t="s">
        <v>758</v>
      </c>
      <c r="K217">
        <v>36</v>
      </c>
      <c r="L217">
        <v>18</v>
      </c>
      <c r="M217">
        <v>12</v>
      </c>
      <c r="N217">
        <f t="shared" si="19"/>
        <v>2</v>
      </c>
      <c r="O217">
        <f t="shared" si="20"/>
        <v>0</v>
      </c>
    </row>
    <row r="218" spans="1:15">
      <c r="A218" t="s">
        <v>481</v>
      </c>
      <c r="B218" s="65">
        <v>327</v>
      </c>
      <c r="C218" s="138">
        <f t="shared" si="18"/>
        <v>98.1</v>
      </c>
      <c r="D218" s="138"/>
      <c r="E218" t="str">
        <f t="shared" si="17"/>
        <v>W3620</v>
      </c>
      <c r="F218" t="str" cm="1">
        <f t="array" ref="F218">_xlfn.LET(
_xlpm.p,E218,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18" t="str" cm="1">
        <f t="array" ref="G218">_xlfn.LET(
_xlpm.p,E218,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218" s="75" t="s">
        <v>744</v>
      </c>
      <c r="I218" s="68" t="str" cm="1">
        <f t="array" ref="I218">_xlfn.LET(
_xlpm.p,E218,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18" s="68" t="s">
        <v>758</v>
      </c>
      <c r="K218">
        <v>36</v>
      </c>
      <c r="L218">
        <v>20</v>
      </c>
      <c r="M218">
        <v>12</v>
      </c>
      <c r="N218">
        <f t="shared" si="19"/>
        <v>2</v>
      </c>
      <c r="O218">
        <f t="shared" si="20"/>
        <v>0</v>
      </c>
    </row>
    <row r="219" spans="1:15">
      <c r="A219" t="s">
        <v>501</v>
      </c>
      <c r="B219" s="65">
        <v>677</v>
      </c>
      <c r="C219" s="138">
        <f t="shared" si="18"/>
        <v>203.1</v>
      </c>
      <c r="D219" s="138"/>
      <c r="E219" t="str">
        <f t="shared" si="17"/>
        <v>W3624</v>
      </c>
      <c r="F219" t="str" cm="1">
        <f t="array" ref="F219">_xlfn.LET(
_xlpm.p,E219,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19" t="str" cm="1">
        <f t="array" ref="G219">_xlfn.LET(
_xlpm.p,E219,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219" s="75" t="s">
        <v>744</v>
      </c>
      <c r="I219" s="68" t="str" cm="1">
        <f t="array" ref="I219">_xlfn.LET(
_xlpm.p,E219,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19" s="68" t="s">
        <v>758</v>
      </c>
      <c r="K219">
        <v>36</v>
      </c>
      <c r="L219">
        <v>24</v>
      </c>
      <c r="M219">
        <v>12</v>
      </c>
      <c r="N219">
        <f t="shared" si="19"/>
        <v>2</v>
      </c>
      <c r="O219">
        <f t="shared" si="20"/>
        <v>0</v>
      </c>
    </row>
    <row r="220" spans="1:15">
      <c r="A220" t="s">
        <v>502</v>
      </c>
      <c r="B220" s="65">
        <v>843</v>
      </c>
      <c r="C220" s="138">
        <f t="shared" si="18"/>
        <v>252.89999999999998</v>
      </c>
      <c r="D220" s="138"/>
      <c r="E220" t="str">
        <f t="shared" si="17"/>
        <v>W3630</v>
      </c>
      <c r="F220" t="str" cm="1">
        <f t="array" ref="F220">_xlfn.LET(
_xlpm.p,E220,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20" t="str" cm="1">
        <f t="array" ref="G220">_xlfn.LET(
_xlpm.p,E220,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220" s="75" t="s">
        <v>744</v>
      </c>
      <c r="I220" s="68" t="str" cm="1">
        <f t="array" ref="I220">_xlfn.LET(
_xlpm.p,E220,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20" s="68" t="s">
        <v>758</v>
      </c>
      <c r="K220">
        <v>36</v>
      </c>
      <c r="L220">
        <v>30</v>
      </c>
      <c r="M220">
        <v>12</v>
      </c>
      <c r="N220">
        <f t="shared" si="19"/>
        <v>2</v>
      </c>
      <c r="O220">
        <f t="shared" si="20"/>
        <v>0</v>
      </c>
    </row>
    <row r="221" spans="1:15">
      <c r="A221" t="s">
        <v>503</v>
      </c>
      <c r="B221" s="65">
        <v>957</v>
      </c>
      <c r="C221" s="138">
        <f t="shared" si="18"/>
        <v>287.09999999999997</v>
      </c>
      <c r="D221" s="138"/>
      <c r="E221" t="str">
        <f t="shared" si="17"/>
        <v>W3636</v>
      </c>
      <c r="F221" t="str" cm="1">
        <f t="array" ref="F221">_xlfn.LET(
_xlpm.p,E221,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21" t="str" cm="1">
        <f t="array" ref="G221">_xlfn.LET(
_xlpm.p,E221,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221" s="75" t="s">
        <v>744</v>
      </c>
      <c r="I221" s="68" t="str" cm="1">
        <f t="array" ref="I221">_xlfn.LET(
_xlpm.p,E221,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21" s="68" t="s">
        <v>758</v>
      </c>
      <c r="K221">
        <v>36</v>
      </c>
      <c r="L221">
        <v>36</v>
      </c>
      <c r="M221">
        <v>12</v>
      </c>
      <c r="N221">
        <f t="shared" si="19"/>
        <v>2</v>
      </c>
      <c r="O221">
        <f t="shared" si="20"/>
        <v>0</v>
      </c>
    </row>
    <row r="222" spans="1:15">
      <c r="A222" t="s">
        <v>716</v>
      </c>
      <c r="B222" s="65">
        <v>469</v>
      </c>
      <c r="C222" s="138">
        <f t="shared" si="18"/>
        <v>140.69999999999999</v>
      </c>
      <c r="D222" s="138"/>
      <c r="E222" t="str">
        <f t="shared" si="17"/>
        <v>W3636-Door</v>
      </c>
      <c r="F222" t="str" cm="1">
        <f t="array" ref="F222">_xlfn.LET(
_xlpm.p,E222,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22" t="str" cm="1">
        <f t="array" ref="G222">_xlfn.LET(
_xlpm.p,E222,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222" s="75" t="s">
        <v>746</v>
      </c>
      <c r="I222" s="68" t="str" cm="1">
        <f t="array" ref="I222">_xlfn.LET(
_xlpm.p,E222,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 - Door</v>
      </c>
      <c r="J222" s="68" t="s">
        <v>758</v>
      </c>
      <c r="K222">
        <v>36</v>
      </c>
      <c r="L222">
        <v>36</v>
      </c>
      <c r="M222" s="60" t="s">
        <v>743</v>
      </c>
      <c r="N222">
        <f t="shared" si="19"/>
        <v>2</v>
      </c>
      <c r="O222">
        <f t="shared" si="20"/>
        <v>0</v>
      </c>
    </row>
    <row r="223" spans="1:15">
      <c r="A223" t="s">
        <v>504</v>
      </c>
      <c r="B223" s="65">
        <v>1106</v>
      </c>
      <c r="C223" s="138">
        <f t="shared" si="18"/>
        <v>331.8</v>
      </c>
      <c r="D223" s="138"/>
      <c r="E223" t="str">
        <f t="shared" si="17"/>
        <v>W3642</v>
      </c>
      <c r="F223" t="str" cm="1">
        <f t="array" ref="F223">_xlfn.LET(
_xlpm.p,E223,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23" t="str" cm="1">
        <f t="array" ref="G223">_xlfn.LET(
_xlpm.p,E223,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223" s="75" t="s">
        <v>744</v>
      </c>
      <c r="I223" s="68" t="str" cm="1">
        <f t="array" ref="I223">_xlfn.LET(
_xlpm.p,E223,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23" s="68" t="s">
        <v>758</v>
      </c>
      <c r="K223">
        <v>36</v>
      </c>
      <c r="L223">
        <v>42</v>
      </c>
      <c r="M223">
        <v>12</v>
      </c>
      <c r="N223">
        <f t="shared" si="19"/>
        <v>2</v>
      </c>
      <c r="O223">
        <f t="shared" si="20"/>
        <v>0</v>
      </c>
    </row>
    <row r="224" spans="1:15">
      <c r="A224" t="s">
        <v>505</v>
      </c>
      <c r="B224" s="65">
        <v>1774</v>
      </c>
      <c r="C224" s="138">
        <f t="shared" si="18"/>
        <v>532.19999999999993</v>
      </c>
      <c r="D224" s="138"/>
      <c r="E224" t="str">
        <f t="shared" si="17"/>
        <v>W3648</v>
      </c>
      <c r="F224" t="str" cm="1">
        <f t="array" ref="F224">_xlfn.LET(
_xlpm.p,E224,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24" t="str" cm="1">
        <f t="array" ref="G224">_xlfn.LET(
_xlpm.p,E224,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224" s="75" t="s">
        <v>744</v>
      </c>
      <c r="I224" s="68" t="str" cm="1">
        <f t="array" ref="I224">_xlfn.LET(
_xlpm.p,E224,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24" s="68" t="s">
        <v>758</v>
      </c>
      <c r="K224">
        <v>36</v>
      </c>
      <c r="L224">
        <v>48</v>
      </c>
      <c r="M224">
        <v>12</v>
      </c>
      <c r="N224">
        <f t="shared" si="19"/>
        <v>2</v>
      </c>
      <c r="O224">
        <f t="shared" si="20"/>
        <v>0</v>
      </c>
    </row>
    <row r="225" spans="1:15">
      <c r="A225" t="s">
        <v>478</v>
      </c>
      <c r="B225" s="65">
        <v>623</v>
      </c>
      <c r="C225" s="138">
        <f t="shared" si="18"/>
        <v>186.9</v>
      </c>
      <c r="D225" s="138"/>
      <c r="E225" t="str">
        <f t="shared" si="17"/>
        <v>W36X19.5</v>
      </c>
      <c r="F225" t="str" cm="1">
        <f t="array" ref="F225">_xlfn.LET(
_xlpm.p,E225,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25" t="str" cm="1">
        <f t="array" ref="G225">_xlfn.LET(
_xlpm.p,E225,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225" s="68" t="str" cm="1">
        <f t="array" ref="I225">_xlfn.LET(
_xlpm.p,E225,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25" s="82"/>
      <c r="N225">
        <f t="shared" si="19"/>
        <v>1</v>
      </c>
      <c r="O225">
        <f t="shared" si="20"/>
        <v>0</v>
      </c>
    </row>
    <row r="226" spans="1:15">
      <c r="A226" t="s">
        <v>506</v>
      </c>
      <c r="B226" s="65">
        <v>438</v>
      </c>
      <c r="C226" s="138">
        <f t="shared" si="18"/>
        <v>131.4</v>
      </c>
      <c r="D226" s="138"/>
      <c r="E226" t="str">
        <f t="shared" si="17"/>
        <v>W3930</v>
      </c>
      <c r="F226" t="str" cm="1">
        <f t="array" ref="F226">_xlfn.LET(
_xlpm.p,E226,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26" t="str" cm="1">
        <f t="array" ref="G226">_xlfn.LET(
_xlpm.p,E226,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226" s="75" t="s">
        <v>744</v>
      </c>
      <c r="I226" s="68" t="str" cm="1">
        <f t="array" ref="I226">_xlfn.LET(
_xlpm.p,E226,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26" s="68" t="s">
        <v>758</v>
      </c>
      <c r="K226">
        <v>39</v>
      </c>
      <c r="L226">
        <v>30</v>
      </c>
      <c r="M226">
        <v>12</v>
      </c>
      <c r="N226">
        <f t="shared" si="19"/>
        <v>2</v>
      </c>
      <c r="O226">
        <f t="shared" si="20"/>
        <v>0</v>
      </c>
    </row>
    <row r="227" spans="1:15">
      <c r="A227" t="s">
        <v>507</v>
      </c>
      <c r="B227" s="65">
        <v>1067</v>
      </c>
      <c r="C227" s="138">
        <f t="shared" si="18"/>
        <v>320.09999999999997</v>
      </c>
      <c r="D227" s="138"/>
      <c r="E227" t="str">
        <f t="shared" si="17"/>
        <v>W3936</v>
      </c>
      <c r="F227" t="str" cm="1">
        <f t="array" ref="F227">_xlfn.LET(
_xlpm.p,E227,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27" t="str" cm="1">
        <f t="array" ref="G227">_xlfn.LET(
_xlpm.p,E227,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227" s="75" t="s">
        <v>744</v>
      </c>
      <c r="I227" s="68" t="str" cm="1">
        <f t="array" ref="I227">_xlfn.LET(
_xlpm.p,E227,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27" s="68" t="s">
        <v>758</v>
      </c>
      <c r="K227">
        <v>39</v>
      </c>
      <c r="L227">
        <v>36</v>
      </c>
      <c r="M227">
        <v>12</v>
      </c>
      <c r="N227">
        <f t="shared" si="19"/>
        <v>2</v>
      </c>
      <c r="O227">
        <f t="shared" si="20"/>
        <v>0</v>
      </c>
    </row>
    <row r="228" spans="1:15">
      <c r="A228" t="s">
        <v>508</v>
      </c>
      <c r="B228" s="65">
        <v>787</v>
      </c>
      <c r="C228" s="138">
        <f t="shared" si="18"/>
        <v>236.1</v>
      </c>
      <c r="D228" s="138"/>
      <c r="E228" t="str">
        <f t="shared" si="17"/>
        <v>W39X20X27</v>
      </c>
      <c r="F228" t="str" cm="1">
        <f t="array" ref="F228">_xlfn.LET(
_xlpm.p,E228,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28" t="str" cm="1">
        <f t="array" ref="G228">_xlfn.LET(
_xlpm.p,E228,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228" s="68" t="str" cm="1">
        <f t="array" ref="I228">_xlfn.LET(
_xlpm.p,E228,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28" s="82"/>
      <c r="N228">
        <f t="shared" si="19"/>
        <v>1</v>
      </c>
      <c r="O228">
        <f t="shared" si="20"/>
        <v>0</v>
      </c>
    </row>
    <row r="229" spans="1:15">
      <c r="A229" t="s">
        <v>482</v>
      </c>
      <c r="B229" s="65">
        <v>774</v>
      </c>
      <c r="C229" s="138">
        <f t="shared" si="18"/>
        <v>232.2</v>
      </c>
      <c r="D229" s="138"/>
      <c r="E229" t="str">
        <f t="shared" si="17"/>
        <v>W42.518</v>
      </c>
      <c r="F229" t="str" cm="1">
        <f t="array" ref="F229">_xlfn.LET(
_xlpm.p,E229,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29" t="str" cm="1">
        <f t="array" ref="G229">_xlfn.LET(
_xlpm.p,E229,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229" s="68" t="str" cm="1">
        <f t="array" ref="I229">_xlfn.LET(
_xlpm.p,E229,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29" s="82"/>
      <c r="N229">
        <f t="shared" si="19"/>
        <v>1</v>
      </c>
      <c r="O229">
        <f t="shared" si="20"/>
        <v>0</v>
      </c>
    </row>
    <row r="230" spans="1:15">
      <c r="A230" t="s">
        <v>628</v>
      </c>
      <c r="B230" s="65">
        <v>1200</v>
      </c>
      <c r="C230" s="138">
        <f t="shared" si="18"/>
        <v>360</v>
      </c>
      <c r="D230" s="138"/>
      <c r="E230" t="str">
        <f t="shared" si="17"/>
        <v>W4236</v>
      </c>
      <c r="F230" t="str" cm="1">
        <f t="array" ref="F230">_xlfn.LET(
_xlpm.p,E230,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30" t="str" cm="1">
        <f t="array" ref="G230">_xlfn.LET(
_xlpm.p,E230,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230" s="68" t="str" cm="1">
        <f t="array" ref="I230">_xlfn.LET(
_xlpm.p,E230,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30" s="82"/>
      <c r="N230">
        <f t="shared" si="19"/>
        <v>1</v>
      </c>
      <c r="O230">
        <f t="shared" si="20"/>
        <v>0</v>
      </c>
    </row>
    <row r="231" spans="1:15">
      <c r="A231" t="s">
        <v>546</v>
      </c>
      <c r="B231" s="65">
        <v>873</v>
      </c>
      <c r="C231" s="138">
        <f t="shared" si="18"/>
        <v>261.89999999999998</v>
      </c>
      <c r="D231" s="138"/>
      <c r="E231" t="str">
        <f t="shared" si="17"/>
        <v>WDC2430</v>
      </c>
      <c r="F231" t="str" cm="1">
        <f t="array" ref="F231">_xlfn.LET(
_xlpm.p,E231,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31" t="str" cm="1">
        <f t="array" ref="G231">_xlfn.LET(
_xlpm.p,E231,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Corner (45deg)</v>
      </c>
      <c r="H231" s="75" t="s">
        <v>744</v>
      </c>
      <c r="I231" s="68" t="str" cm="1">
        <f t="array" ref="I231">_xlfn.LET(
_xlpm.p,E231,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31" s="68" t="s">
        <v>758</v>
      </c>
      <c r="K231">
        <v>24</v>
      </c>
      <c r="L231">
        <v>30</v>
      </c>
      <c r="M231">
        <v>12</v>
      </c>
      <c r="N231">
        <f t="shared" si="19"/>
        <v>2</v>
      </c>
      <c r="O231">
        <f t="shared" si="20"/>
        <v>0</v>
      </c>
    </row>
    <row r="232" spans="1:15">
      <c r="A232" t="s">
        <v>547</v>
      </c>
      <c r="B232" s="65">
        <v>930</v>
      </c>
      <c r="C232" s="138">
        <f t="shared" si="18"/>
        <v>279</v>
      </c>
      <c r="D232" s="138"/>
      <c r="E232" t="str">
        <f t="shared" si="17"/>
        <v>WDC2436</v>
      </c>
      <c r="F232" t="str" cm="1">
        <f t="array" ref="F232">_xlfn.LET(
_xlpm.p,E232,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32" t="str" cm="1">
        <f t="array" ref="G232">_xlfn.LET(
_xlpm.p,E232,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Corner (45deg)</v>
      </c>
      <c r="H232" s="75" t="s">
        <v>744</v>
      </c>
      <c r="I232" s="68" t="str" cm="1">
        <f t="array" ref="I232">_xlfn.LET(
_xlpm.p,E232,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32" s="68" t="s">
        <v>758</v>
      </c>
      <c r="K232">
        <v>24</v>
      </c>
      <c r="L232">
        <v>36</v>
      </c>
      <c r="M232">
        <v>12</v>
      </c>
      <c r="N232">
        <f t="shared" si="19"/>
        <v>2</v>
      </c>
      <c r="O232">
        <f t="shared" si="20"/>
        <v>0</v>
      </c>
    </row>
    <row r="233" spans="1:15">
      <c r="A233" t="s">
        <v>720</v>
      </c>
      <c r="B233" s="65">
        <v>230</v>
      </c>
      <c r="C233" s="138">
        <f t="shared" si="18"/>
        <v>69</v>
      </c>
      <c r="D233" s="138"/>
      <c r="E233" t="str">
        <f t="shared" si="17"/>
        <v>WDC2436-Door</v>
      </c>
      <c r="F233" t="str" cm="1">
        <f t="array" ref="F233">_xlfn.LET(
_xlpm.p,E233,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33" t="str" cm="1">
        <f t="array" ref="G233">_xlfn.LET(
_xlpm.p,E233,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Corner (45deg)</v>
      </c>
      <c r="H233" s="75" t="s">
        <v>746</v>
      </c>
      <c r="I233" s="68" t="str" cm="1">
        <f t="array" ref="I233">_xlfn.LET(
_xlpm.p,E233,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 - Door</v>
      </c>
      <c r="J233" s="68" t="s">
        <v>758</v>
      </c>
      <c r="K233">
        <v>24</v>
      </c>
      <c r="L233">
        <v>36</v>
      </c>
      <c r="M233" s="60" t="s">
        <v>743</v>
      </c>
      <c r="N233">
        <f t="shared" si="19"/>
        <v>2</v>
      </c>
      <c r="O233">
        <f t="shared" si="20"/>
        <v>0</v>
      </c>
    </row>
    <row r="234" spans="1:15">
      <c r="A234" t="s">
        <v>548</v>
      </c>
      <c r="B234" s="65">
        <v>1348</v>
      </c>
      <c r="C234" s="138">
        <f t="shared" si="18"/>
        <v>404.4</v>
      </c>
      <c r="D234" s="138"/>
      <c r="E234" t="str">
        <f t="shared" si="17"/>
        <v>WDC2448</v>
      </c>
      <c r="F234" t="str" cm="1">
        <f t="array" ref="F234">_xlfn.LET(
_xlpm.p,E234,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34" t="str" cm="1">
        <f t="array" ref="G234">_xlfn.LET(
_xlpm.p,E234,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Corner (45deg)</v>
      </c>
      <c r="H234" s="75" t="s">
        <v>744</v>
      </c>
      <c r="I234" s="68" t="str" cm="1">
        <f t="array" ref="I234">_xlfn.LET(
_xlpm.p,E234,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34" s="68" t="s">
        <v>758</v>
      </c>
      <c r="K234">
        <v>24</v>
      </c>
      <c r="L234">
        <v>48</v>
      </c>
      <c r="M234">
        <v>12</v>
      </c>
      <c r="N234">
        <f t="shared" si="19"/>
        <v>2</v>
      </c>
      <c r="O234">
        <f t="shared" si="20"/>
        <v>0</v>
      </c>
    </row>
    <row r="235" spans="1:15">
      <c r="A235" t="s">
        <v>607</v>
      </c>
      <c r="B235" s="65">
        <v>187</v>
      </c>
      <c r="C235" s="138">
        <f t="shared" si="18"/>
        <v>56.1</v>
      </c>
      <c r="D235" s="138"/>
      <c r="E235" t="str">
        <f t="shared" si="17"/>
        <v>WDD12.75*36</v>
      </c>
      <c r="F235" t="str" cm="1">
        <f t="array" ref="F235">_xlfn.LET(
_xlpm.p,E235,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Dummy Door</v>
      </c>
      <c r="G235" cm="1">
        <f t="array" ref="G235">_xlfn.LET(
_xlpm.p,E235,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235" s="82" t="str" cm="1">
        <f t="array" ref="I235">_xlfn.LET(
_xlpm.p,E235,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235" s="82"/>
      <c r="N235" t="str">
        <f t="shared" si="19"/>
        <v>N/A</v>
      </c>
      <c r="O235" t="str">
        <f t="shared" si="20"/>
        <v>N/A</v>
      </c>
    </row>
    <row r="236" spans="1:15">
      <c r="A236" t="s">
        <v>608</v>
      </c>
      <c r="B236" s="65">
        <v>244</v>
      </c>
      <c r="C236" s="138">
        <f t="shared" si="18"/>
        <v>73.2</v>
      </c>
      <c r="D236" s="138"/>
      <c r="E236" t="str">
        <f t="shared" si="17"/>
        <v>WDD12.75*48</v>
      </c>
      <c r="F236" t="str" cm="1">
        <f t="array" ref="F236">_xlfn.LET(
_xlpm.p,E236,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Dummy Door</v>
      </c>
      <c r="G236" cm="1">
        <f t="array" ref="G236">_xlfn.LET(
_xlpm.p,E236,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236" s="82" t="str" cm="1">
        <f t="array" ref="I236">_xlfn.LET(
_xlpm.p,E236,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236" s="82"/>
      <c r="N236" t="str">
        <f t="shared" si="19"/>
        <v>N/A</v>
      </c>
      <c r="O236" t="str">
        <f t="shared" si="20"/>
        <v>N/A</v>
      </c>
    </row>
    <row r="237" spans="1:15">
      <c r="A237" t="s">
        <v>602</v>
      </c>
      <c r="B237" s="65">
        <v>50</v>
      </c>
      <c r="C237" s="138">
        <f t="shared" si="18"/>
        <v>15</v>
      </c>
      <c r="D237" s="138"/>
      <c r="E237" t="str">
        <f t="shared" si="17"/>
        <v>WEP1330</v>
      </c>
      <c r="F237" t="str" cm="1">
        <f t="array" ref="F237">_xlfn.LET(
_xlpm.p,E237,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End Panel</v>
      </c>
      <c r="G237" cm="1">
        <f t="array" ref="G237">_xlfn.LET(
_xlpm.p,E237,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237" s="82" t="str" cm="1">
        <f t="array" ref="I237">_xlfn.LET(
_xlpm.p,E237,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237" s="82"/>
      <c r="N237" t="str">
        <f t="shared" si="19"/>
        <v>N/A</v>
      </c>
      <c r="O237" t="str">
        <f t="shared" si="20"/>
        <v>N/A</v>
      </c>
    </row>
    <row r="238" spans="1:15">
      <c r="A238" t="s">
        <v>601</v>
      </c>
      <c r="B238" s="65">
        <v>51</v>
      </c>
      <c r="C238" s="138">
        <f t="shared" si="18"/>
        <v>15.299999999999999</v>
      </c>
      <c r="D238" s="138"/>
      <c r="E238" t="str">
        <f t="shared" si="17"/>
        <v>WEP1336</v>
      </c>
      <c r="F238" t="str" cm="1">
        <f t="array" ref="F238">_xlfn.LET(
_xlpm.p,E238,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End Panel</v>
      </c>
      <c r="G238" cm="1">
        <f t="array" ref="G238">_xlfn.LET(
_xlpm.p,E238,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238" s="82" t="str" cm="1">
        <f t="array" ref="I238">_xlfn.LET(
_xlpm.p,E238,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238" s="82"/>
      <c r="N238" t="str">
        <f t="shared" si="19"/>
        <v>N/A</v>
      </c>
      <c r="O238" t="str">
        <f t="shared" si="20"/>
        <v>N/A</v>
      </c>
    </row>
    <row r="239" spans="1:15">
      <c r="A239" t="s">
        <v>601</v>
      </c>
      <c r="B239" s="65">
        <v>60</v>
      </c>
      <c r="C239" s="138">
        <f t="shared" si="18"/>
        <v>18</v>
      </c>
      <c r="D239" s="138"/>
      <c r="E239" t="str">
        <f t="shared" si="17"/>
        <v>WEP1336</v>
      </c>
      <c r="F239" t="str" cm="1">
        <f t="array" ref="F239">_xlfn.LET(
_xlpm.p,E239,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End Panel</v>
      </c>
      <c r="G239" cm="1">
        <f t="array" ref="G239">_xlfn.LET(
_xlpm.p,E239,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239" s="82" t="str" cm="1">
        <f t="array" ref="I239">_xlfn.LET(
_xlpm.p,E239,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239" s="82"/>
      <c r="N239" t="str">
        <f t="shared" si="19"/>
        <v>N/A</v>
      </c>
      <c r="O239" t="str">
        <f t="shared" si="20"/>
        <v>N/A</v>
      </c>
    </row>
    <row r="240" spans="1:15">
      <c r="A240" t="s">
        <v>603</v>
      </c>
      <c r="B240" s="65">
        <v>81</v>
      </c>
      <c r="C240" s="138">
        <f t="shared" si="18"/>
        <v>24.3</v>
      </c>
      <c r="D240" s="138"/>
      <c r="E240" t="str">
        <f t="shared" si="17"/>
        <v>WEP1348</v>
      </c>
      <c r="F240" t="str" cm="1">
        <f t="array" ref="F240">_xlfn.LET(
_xlpm.p,E240,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End Panel</v>
      </c>
      <c r="G240" cm="1">
        <f t="array" ref="G240">_xlfn.LET(
_xlpm.p,E240,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240" s="82" t="str" cm="1">
        <f t="array" ref="I240">_xlfn.LET(
_xlpm.p,E240,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240" s="82"/>
      <c r="N240" t="str">
        <f t="shared" si="19"/>
        <v>N/A</v>
      </c>
      <c r="O240" t="str">
        <f t="shared" si="20"/>
        <v>N/A</v>
      </c>
    </row>
    <row r="241" spans="1:15">
      <c r="A241" t="s">
        <v>611</v>
      </c>
      <c r="B241" s="65">
        <v>222</v>
      </c>
      <c r="C241" s="138">
        <f t="shared" si="18"/>
        <v>66.599999999999994</v>
      </c>
      <c r="D241" s="138"/>
      <c r="E241" t="str">
        <f t="shared" si="17"/>
        <v>WPDD13.75*37.5</v>
      </c>
      <c r="F241" t="str" cm="1">
        <f t="array" ref="F241">_xlfn.LET(
_xlpm.p,E241,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Wall/Pantry Dummy Door</v>
      </c>
      <c r="G241" cm="1">
        <f t="array" ref="G241">_xlfn.LET(
_xlpm.p,E241,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241" s="82" t="str" cm="1">
        <f t="array" ref="I241">_xlfn.LET(
_xlpm.p,E241,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241" s="82"/>
      <c r="N241" t="str">
        <f t="shared" si="19"/>
        <v>N/A</v>
      </c>
      <c r="O241" t="str">
        <f t="shared" si="20"/>
        <v>N/A</v>
      </c>
    </row>
    <row r="242" spans="1:15">
      <c r="A242" t="s">
        <v>610</v>
      </c>
      <c r="B242" s="65">
        <v>230</v>
      </c>
      <c r="C242" s="138">
        <f t="shared" si="18"/>
        <v>69</v>
      </c>
      <c r="D242" s="138"/>
      <c r="E242" t="str">
        <f t="shared" si="17"/>
        <v>WPDD13.75*39</v>
      </c>
      <c r="F242" t="str" cm="1">
        <f t="array" ref="F242">_xlfn.LET(
_xlpm.p,E242,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Wall/Pantry Dummy Door</v>
      </c>
      <c r="G242" cm="1">
        <f t="array" ref="G242">_xlfn.LET(
_xlpm.p,E242,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242" s="82" t="str" cm="1">
        <f t="array" ref="I242">_xlfn.LET(
_xlpm.p,E242,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242" s="82"/>
      <c r="N242" t="str">
        <f t="shared" si="19"/>
        <v>N/A</v>
      </c>
      <c r="O242" t="str">
        <f t="shared" si="20"/>
        <v>N/A</v>
      </c>
    </row>
    <row r="243" spans="1:15">
      <c r="A243" t="s">
        <v>609</v>
      </c>
      <c r="B243" s="65">
        <v>305</v>
      </c>
      <c r="C243" s="138">
        <f t="shared" si="18"/>
        <v>91.5</v>
      </c>
      <c r="D243" s="138"/>
      <c r="E243" t="str">
        <f t="shared" si="17"/>
        <v>WPDD13.75*49.5</v>
      </c>
      <c r="F243" t="str" cm="1">
        <f t="array" ref="F243">_xlfn.LET(
_xlpm.p,E243,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Wall/Pantry Dummy Door</v>
      </c>
      <c r="G243" cm="1">
        <f t="array" ref="G243">_xlfn.LET(
_xlpm.p,E243,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243" s="82" t="str" cm="1">
        <f t="array" ref="I243">_xlfn.LET(
_xlpm.p,E243,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243" s="82"/>
      <c r="N243" t="str">
        <f t="shared" si="19"/>
        <v>N/A</v>
      </c>
      <c r="O243" t="str">
        <f t="shared" si="20"/>
        <v>N/A</v>
      </c>
    </row>
    <row r="245" spans="1:15">
      <c r="B245" s="65"/>
      <c r="C245" s="65"/>
      <c r="D245" s="138"/>
    </row>
  </sheetData>
  <autoFilter ref="A1:M243" xr:uid="{44AE9231-A42D-434F-81C2-23C353D50F66}">
    <sortState xmlns:xlrd2="http://schemas.microsoft.com/office/spreadsheetml/2017/richdata2" ref="A2:M243">
      <sortCondition ref="F1:F243"/>
    </sortState>
  </autoFilter>
  <conditionalFormatting sqref="A246:A1048576 A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326-ACF2-45A7-97D4-972B6B8FD959}">
  <dimension ref="A1:E49"/>
  <sheetViews>
    <sheetView topLeftCell="A4" workbookViewId="0">
      <selection activeCell="K26" sqref="K26"/>
    </sheetView>
  </sheetViews>
  <sheetFormatPr defaultRowHeight="15"/>
  <cols>
    <col min="1" max="1" width="17.140625" customWidth="1"/>
    <col min="2" max="2" width="53.28515625" bestFit="1" customWidth="1"/>
    <col min="3" max="4" width="36.140625" customWidth="1"/>
    <col min="5" max="5" width="35" customWidth="1"/>
  </cols>
  <sheetData>
    <row r="1" spans="1:5">
      <c r="A1" s="61" t="s">
        <v>629</v>
      </c>
      <c r="B1" s="61" t="s">
        <v>669</v>
      </c>
      <c r="C1" s="61" t="s">
        <v>705</v>
      </c>
      <c r="D1" s="40" t="s">
        <v>757</v>
      </c>
      <c r="E1" s="64" t="s">
        <v>722</v>
      </c>
    </row>
    <row r="2" spans="1:5">
      <c r="A2" s="67" t="s">
        <v>630</v>
      </c>
      <c r="B2" s="67" t="s">
        <v>631</v>
      </c>
      <c r="C2" s="72" t="s">
        <v>698</v>
      </c>
      <c r="D2" s="72" t="s">
        <v>758</v>
      </c>
    </row>
    <row r="3" spans="1:5">
      <c r="A3" s="67" t="s">
        <v>638</v>
      </c>
      <c r="B3" s="67" t="s">
        <v>631</v>
      </c>
      <c r="C3" s="72" t="s">
        <v>699</v>
      </c>
      <c r="D3" s="72" t="s">
        <v>758</v>
      </c>
    </row>
    <row r="4" spans="1:5">
      <c r="A4" s="69" t="s">
        <v>680</v>
      </c>
      <c r="B4" s="69" t="s">
        <v>737</v>
      </c>
      <c r="C4" s="73" t="s">
        <v>706</v>
      </c>
      <c r="D4" s="73" t="s">
        <v>758</v>
      </c>
    </row>
    <row r="5" spans="1:5">
      <c r="A5" t="s">
        <v>644</v>
      </c>
      <c r="B5" t="s">
        <v>645</v>
      </c>
      <c r="D5" t="s">
        <v>760</v>
      </c>
    </row>
    <row r="6" spans="1:5">
      <c r="A6" t="s">
        <v>646</v>
      </c>
      <c r="B6" t="s">
        <v>647</v>
      </c>
      <c r="D6" t="s">
        <v>760</v>
      </c>
    </row>
    <row r="7" spans="1:5">
      <c r="A7" s="69" t="s">
        <v>671</v>
      </c>
      <c r="B7" s="69" t="s">
        <v>754</v>
      </c>
      <c r="C7" s="73" t="s">
        <v>697</v>
      </c>
      <c r="D7" s="73" t="s">
        <v>758</v>
      </c>
    </row>
    <row r="8" spans="1:5">
      <c r="A8" t="s">
        <v>666</v>
      </c>
      <c r="B8" t="s">
        <v>667</v>
      </c>
      <c r="D8" t="s">
        <v>760</v>
      </c>
    </row>
    <row r="9" spans="1:5">
      <c r="A9" s="67" t="s">
        <v>650</v>
      </c>
      <c r="B9" s="67" t="s">
        <v>631</v>
      </c>
      <c r="C9" s="72" t="s">
        <v>704</v>
      </c>
      <c r="D9" s="72" t="s">
        <v>758</v>
      </c>
    </row>
    <row r="10" spans="1:5">
      <c r="A10" s="69" t="s">
        <v>668</v>
      </c>
      <c r="B10" s="69" t="s">
        <v>755</v>
      </c>
      <c r="C10" s="79" t="s">
        <v>756</v>
      </c>
      <c r="D10" s="79" t="s">
        <v>760</v>
      </c>
    </row>
    <row r="11" spans="1:5">
      <c r="A11" t="s">
        <v>648</v>
      </c>
      <c r="B11" t="s">
        <v>649</v>
      </c>
      <c r="D11" t="s">
        <v>760</v>
      </c>
    </row>
    <row r="12" spans="1:5">
      <c r="A12" s="6" t="s">
        <v>663</v>
      </c>
      <c r="B12" s="6" t="s">
        <v>753</v>
      </c>
      <c r="C12" s="6"/>
      <c r="D12" s="6" t="s">
        <v>760</v>
      </c>
    </row>
    <row r="13" spans="1:5">
      <c r="A13" s="67" t="s">
        <v>632</v>
      </c>
      <c r="B13" s="67" t="s">
        <v>631</v>
      </c>
      <c r="C13" s="72" t="s">
        <v>721</v>
      </c>
      <c r="D13" s="72" t="s">
        <v>758</v>
      </c>
    </row>
    <row r="14" spans="1:5">
      <c r="A14" s="67" t="s">
        <v>633</v>
      </c>
      <c r="B14" s="67" t="s">
        <v>631</v>
      </c>
      <c r="C14" s="72" t="s">
        <v>703</v>
      </c>
      <c r="D14" s="72" t="s">
        <v>758</v>
      </c>
    </row>
    <row r="15" spans="1:5">
      <c r="A15" s="6" t="s">
        <v>657</v>
      </c>
      <c r="B15" s="6" t="s">
        <v>752</v>
      </c>
      <c r="C15" s="6"/>
      <c r="D15" s="6" t="s">
        <v>760</v>
      </c>
    </row>
    <row r="16" spans="1:5">
      <c r="A16" s="69" t="s">
        <v>686</v>
      </c>
      <c r="B16" s="69" t="s">
        <v>738</v>
      </c>
      <c r="C16" s="73" t="s">
        <v>734</v>
      </c>
      <c r="D16" s="73" t="s">
        <v>758</v>
      </c>
    </row>
    <row r="17" spans="1:5">
      <c r="A17" s="6" t="s">
        <v>664</v>
      </c>
      <c r="B17" s="6" t="s">
        <v>665</v>
      </c>
      <c r="C17" s="6"/>
      <c r="D17" s="6" t="s">
        <v>760</v>
      </c>
    </row>
    <row r="18" spans="1:5">
      <c r="A18" s="6" t="s">
        <v>654</v>
      </c>
      <c r="B18" s="6" t="s">
        <v>764</v>
      </c>
      <c r="C18" s="6"/>
      <c r="D18" s="6" t="s">
        <v>760</v>
      </c>
      <c r="E18" s="6" t="s">
        <v>765</v>
      </c>
    </row>
    <row r="19" spans="1:5">
      <c r="A19" s="67" t="s">
        <v>655</v>
      </c>
      <c r="B19" s="67" t="s">
        <v>631</v>
      </c>
      <c r="C19" s="72" t="s">
        <v>724</v>
      </c>
      <c r="D19" s="72" t="s">
        <v>758</v>
      </c>
    </row>
    <row r="20" spans="1:5">
      <c r="A20" s="71" t="s">
        <v>660</v>
      </c>
      <c r="B20" s="71" t="s">
        <v>728</v>
      </c>
      <c r="C20" s="74" t="s">
        <v>729</v>
      </c>
      <c r="D20" s="74"/>
      <c r="E20" s="70" t="s">
        <v>736</v>
      </c>
    </row>
    <row r="21" spans="1:5">
      <c r="A21" s="62" t="s">
        <v>676</v>
      </c>
      <c r="B21" s="78" t="s">
        <v>677</v>
      </c>
      <c r="C21" s="62"/>
      <c r="D21" s="81" t="s">
        <v>760</v>
      </c>
    </row>
    <row r="22" spans="1:5">
      <c r="A22" s="6" t="s">
        <v>658</v>
      </c>
      <c r="B22" s="6" t="s">
        <v>659</v>
      </c>
      <c r="C22" s="6"/>
      <c r="D22" s="6" t="s">
        <v>760</v>
      </c>
    </row>
    <row r="23" spans="1:5">
      <c r="A23" s="67" t="s">
        <v>641</v>
      </c>
      <c r="B23" s="67" t="s">
        <v>631</v>
      </c>
      <c r="C23" s="72" t="s">
        <v>723</v>
      </c>
      <c r="D23" s="72" t="s">
        <v>758</v>
      </c>
      <c r="E23" s="70" t="s">
        <v>725</v>
      </c>
    </row>
    <row r="24" spans="1:5">
      <c r="A24" s="69" t="s">
        <v>685</v>
      </c>
      <c r="B24" s="67" t="s">
        <v>731</v>
      </c>
      <c r="C24" s="73" t="s">
        <v>733</v>
      </c>
      <c r="D24" s="73" t="s">
        <v>758</v>
      </c>
    </row>
    <row r="25" spans="1:5">
      <c r="A25" s="69" t="s">
        <v>674</v>
      </c>
      <c r="B25" s="69" t="s">
        <v>754</v>
      </c>
      <c r="C25" s="73" t="s">
        <v>675</v>
      </c>
      <c r="D25" s="73" t="s">
        <v>758</v>
      </c>
      <c r="E25" s="60"/>
    </row>
    <row r="26" spans="1:5">
      <c r="A26" s="6" t="s">
        <v>661</v>
      </c>
      <c r="B26" s="6" t="s">
        <v>662</v>
      </c>
      <c r="C26" s="6"/>
      <c r="D26" s="6" t="s">
        <v>760</v>
      </c>
    </row>
    <row r="27" spans="1:5">
      <c r="A27" s="6" t="s">
        <v>656</v>
      </c>
      <c r="B27" s="77" t="s">
        <v>748</v>
      </c>
      <c r="C27" s="6"/>
      <c r="D27" s="6" t="s">
        <v>760</v>
      </c>
      <c r="E27" s="75"/>
    </row>
    <row r="28" spans="1:5">
      <c r="A28" s="69" t="s">
        <v>672</v>
      </c>
      <c r="B28" s="69" t="s">
        <v>738</v>
      </c>
      <c r="C28" s="73" t="s">
        <v>673</v>
      </c>
      <c r="D28" s="73" t="s">
        <v>758</v>
      </c>
    </row>
    <row r="29" spans="1:5">
      <c r="A29" s="67" t="s">
        <v>642</v>
      </c>
      <c r="B29" s="67" t="s">
        <v>631</v>
      </c>
      <c r="C29" s="72" t="s">
        <v>702</v>
      </c>
      <c r="D29" s="72" t="s">
        <v>758</v>
      </c>
      <c r="E29" s="70" t="s">
        <v>726</v>
      </c>
    </row>
    <row r="30" spans="1:5">
      <c r="A30" s="69" t="s">
        <v>670</v>
      </c>
      <c r="B30" s="69" t="s">
        <v>754</v>
      </c>
      <c r="C30" s="73" t="s">
        <v>735</v>
      </c>
      <c r="D30" s="73" t="s">
        <v>758</v>
      </c>
    </row>
    <row r="31" spans="1:5">
      <c r="A31" s="67" t="s">
        <v>643</v>
      </c>
      <c r="B31" s="67" t="s">
        <v>631</v>
      </c>
      <c r="C31" s="72" t="s">
        <v>742</v>
      </c>
      <c r="D31" s="72" t="s">
        <v>758</v>
      </c>
      <c r="E31" s="70" t="s">
        <v>727</v>
      </c>
    </row>
    <row r="32" spans="1:5">
      <c r="A32" s="67" t="s">
        <v>652</v>
      </c>
      <c r="B32" s="67" t="s">
        <v>653</v>
      </c>
      <c r="C32" s="67"/>
      <c r="D32" s="72" t="s">
        <v>758</v>
      </c>
    </row>
    <row r="33" spans="1:4">
      <c r="A33" s="62" t="s">
        <v>678</v>
      </c>
      <c r="B33" s="6" t="s">
        <v>764</v>
      </c>
      <c r="C33" s="81" t="s">
        <v>700</v>
      </c>
      <c r="D33" s="81" t="s">
        <v>760</v>
      </c>
    </row>
    <row r="34" spans="1:4">
      <c r="A34" s="62" t="s">
        <v>679</v>
      </c>
      <c r="B34" s="6" t="s">
        <v>764</v>
      </c>
      <c r="C34" s="81" t="s">
        <v>702</v>
      </c>
      <c r="D34" s="81" t="s">
        <v>760</v>
      </c>
    </row>
    <row r="35" spans="1:4">
      <c r="A35" s="67" t="s">
        <v>634</v>
      </c>
      <c r="B35" s="67" t="s">
        <v>635</v>
      </c>
      <c r="C35" s="72" t="s">
        <v>698</v>
      </c>
      <c r="D35" s="72" t="s">
        <v>758</v>
      </c>
    </row>
    <row r="36" spans="1:4">
      <c r="A36" s="6" t="s">
        <v>639</v>
      </c>
      <c r="B36" s="6" t="s">
        <v>640</v>
      </c>
      <c r="C36" s="6"/>
      <c r="D36" s="6" t="s">
        <v>760</v>
      </c>
    </row>
    <row r="37" spans="1:4">
      <c r="A37" s="62" t="s">
        <v>687</v>
      </c>
      <c r="B37" s="62" t="s">
        <v>688</v>
      </c>
      <c r="C37" s="62"/>
      <c r="D37" s="81" t="s">
        <v>760</v>
      </c>
    </row>
    <row r="38" spans="1:4">
      <c r="A38" s="62" t="s">
        <v>689</v>
      </c>
      <c r="B38" s="62" t="s">
        <v>690</v>
      </c>
      <c r="C38" s="62"/>
      <c r="D38" s="81" t="s">
        <v>760</v>
      </c>
    </row>
    <row r="39" spans="1:4">
      <c r="A39" s="69" t="s">
        <v>691</v>
      </c>
      <c r="B39" s="67" t="s">
        <v>635</v>
      </c>
      <c r="C39" s="72" t="s">
        <v>704</v>
      </c>
      <c r="D39" s="72" t="s">
        <v>758</v>
      </c>
    </row>
    <row r="40" spans="1:4">
      <c r="A40" s="62" t="s">
        <v>681</v>
      </c>
      <c r="B40" s="62" t="s">
        <v>682</v>
      </c>
      <c r="C40" s="62"/>
      <c r="D40" s="81" t="s">
        <v>760</v>
      </c>
    </row>
    <row r="41" spans="1:4">
      <c r="A41" s="62" t="s">
        <v>692</v>
      </c>
      <c r="B41" s="62" t="s">
        <v>693</v>
      </c>
      <c r="C41" s="62"/>
      <c r="D41" s="81" t="s">
        <v>760</v>
      </c>
    </row>
    <row r="42" spans="1:4">
      <c r="A42" s="67" t="s">
        <v>636</v>
      </c>
      <c r="B42" s="69" t="s">
        <v>755</v>
      </c>
      <c r="C42" s="72" t="s">
        <v>763</v>
      </c>
      <c r="D42" s="72" t="s">
        <v>758</v>
      </c>
    </row>
    <row r="43" spans="1:4">
      <c r="A43" s="67" t="s">
        <v>651</v>
      </c>
      <c r="B43" s="67" t="s">
        <v>635</v>
      </c>
      <c r="C43" s="72" t="s">
        <v>730</v>
      </c>
      <c r="D43" s="72" t="s">
        <v>758</v>
      </c>
    </row>
    <row r="44" spans="1:4">
      <c r="A44" s="67" t="s">
        <v>637</v>
      </c>
      <c r="B44" s="67" t="s">
        <v>731</v>
      </c>
      <c r="C44" s="72" t="s">
        <v>732</v>
      </c>
      <c r="D44" s="72" t="s">
        <v>758</v>
      </c>
    </row>
    <row r="45" spans="1:4">
      <c r="A45" s="62" t="s">
        <v>683</v>
      </c>
      <c r="B45" s="62" t="s">
        <v>684</v>
      </c>
      <c r="C45" s="62"/>
      <c r="D45" s="81" t="s">
        <v>760</v>
      </c>
    </row>
    <row r="46" spans="1:4">
      <c r="A46" s="62" t="s">
        <v>694</v>
      </c>
      <c r="B46" s="62" t="s">
        <v>695</v>
      </c>
      <c r="C46" s="62"/>
      <c r="D46" s="81" t="s">
        <v>760</v>
      </c>
    </row>
    <row r="47" spans="1:4">
      <c r="A47" s="62"/>
      <c r="B47" s="62"/>
      <c r="C47" s="62"/>
      <c r="D47" s="62"/>
    </row>
    <row r="48" spans="1:4">
      <c r="A48" s="62"/>
      <c r="B48" s="62"/>
      <c r="C48" s="62"/>
      <c r="D48" s="62"/>
    </row>
    <row r="49" spans="1:4">
      <c r="A49" s="62"/>
      <c r="B49" s="62"/>
      <c r="C49" s="62"/>
      <c r="D49" s="62"/>
    </row>
  </sheetData>
  <autoFilter ref="A1:C1" xr:uid="{368E8326-ACF2-45A7-97D4-972B6B8FD95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7EC0B5D8D56340944C1DDE99361991" ma:contentTypeVersion="12" ma:contentTypeDescription="Create a new document." ma:contentTypeScope="" ma:versionID="e631a460e3b5b9b642883bd197eeb695">
  <xsd:schema xmlns:xsd="http://www.w3.org/2001/XMLSchema" xmlns:xs="http://www.w3.org/2001/XMLSchema" xmlns:p="http://schemas.microsoft.com/office/2006/metadata/properties" xmlns:ns2="be6c14df-da61-4cb9-ba61-b65e851650c2" xmlns:ns3="3bef18b6-4133-49ba-81f2-b4ae4f718ff3" targetNamespace="http://schemas.microsoft.com/office/2006/metadata/properties" ma:root="true" ma:fieldsID="3330fd93d64bd854be960ee9bbbea58b" ns2:_="" ns3:_="">
    <xsd:import namespace="be6c14df-da61-4cb9-ba61-b65e851650c2"/>
    <xsd:import namespace="3bef18b6-4133-49ba-81f2-b4ae4f718f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6c14df-da61-4cb9-ba61-b65e851650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57b1842-b69b-4b30-a18d-ccc7e7cd9e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f18b6-4133-49ba-81f2-b4ae4f718ff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887733d-a00f-421a-8a43-07969b6e986e}" ma:internalName="TaxCatchAll" ma:showField="CatchAllData" ma:web="3bef18b6-4133-49ba-81f2-b4ae4f718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f18b6-4133-49ba-81f2-b4ae4f718ff3" xsi:nil="true"/>
    <lcf76f155ced4ddcb4097134ff3c332f xmlns="be6c14df-da61-4cb9-ba61-b65e851650c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6E6E8D-23D5-40EE-9549-E6DF79E0A5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6c14df-da61-4cb9-ba61-b65e851650c2"/>
    <ds:schemaRef ds:uri="3bef18b6-4133-49ba-81f2-b4ae4f718f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058CD7-72F4-4512-8125-C7A0EDB4D9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C52E5B-DEFF-41AE-B8E4-7B53BC5B0319}">
  <ds:schemaRefs>
    <ds:schemaRef ds:uri="http://schemas.microsoft.com/office/2006/metadata/properties"/>
    <ds:schemaRef ds:uri="http://schemas.microsoft.com/office/infopath/2007/PartnerControls"/>
    <ds:schemaRef ds:uri="3bef18b6-4133-49ba-81f2-b4ae4f718ff3"/>
    <ds:schemaRef ds:uri="be6c14df-da61-4cb9-ba61-b65e851650c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SELL </vt:lpstr>
      <vt:lpstr>PRICE</vt:lpstr>
      <vt:lpstr>price bc</vt:lpstr>
      <vt:lpstr>Product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Marc-André Croteau</cp:lastModifiedBy>
  <dcterms:created xsi:type="dcterms:W3CDTF">2021-06-20T23:27:00Z</dcterms:created>
  <dcterms:modified xsi:type="dcterms:W3CDTF">2026-05-17T00:59:44Z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A0F800357965497F8ACC8986E2A928F3</vt:lpwstr>
  </property>
  <property fmtid="{D5CDD505-2E9C-101B-9397-08002B2CF9AE}" pid="3" name="KSOProductBuildVer">
    <vt:lpwstr>2052-12.1.0.17147</vt:lpwstr>
  </property>
  <property fmtid="{D5CDD505-2E9C-101B-9397-08002B2CF9AE}" pid="4" name="ContentTypeId">
    <vt:lpwstr>0x0101005A7EC0B5D8D56340944C1DDE99361991</vt:lpwstr>
  </property>
  <property fmtid="{D5CDD505-2E9C-101B-9397-08002B2CF9AE}" pid="5" name="MediaServiceImageTags">
    <vt:lpwstr/>
  </property>
</Properties>
</file>